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How to Use" sheetId="2" state="visible" r:id="rId2"/>
    <sheet name="1. Onboarding &amp; Login" sheetId="3" state="visible" r:id="rId3"/>
    <sheet name="2. People" sheetId="4" state="visible" r:id="rId4"/>
    <sheet name="3. CRM - Leads" sheetId="5" state="visible" r:id="rId5"/>
    <sheet name="4. CRM - Customers &amp; Products" sheetId="6" state="visible" r:id="rId6"/>
    <sheet name="5. Money Path" sheetId="7" state="visible" r:id="rId7"/>
    <sheet name="6. Tasks &amp; Helpdesk" sheetId="8" state="visible" r:id="rId8"/>
    <sheet name="7. Projects &amp; Operations" sheetId="9" state="visible" r:id="rId9"/>
    <sheet name="8. Messages" sheetId="10" state="visible" r:id="rId10"/>
    <sheet name="9. Training (LMS)" sheetId="11" state="visible" r:id="rId11"/>
    <sheet name="10. Rewards" sheetId="12" state="visible" r:id="rId12"/>
    <sheet name="11. Dashboard &amp; Reports" sheetId="13" state="visible" r:id="rId13"/>
    <sheet name="12. Notifications" sheetId="14" state="visible" r:id="rId14"/>
    <sheet name="13. Misc (Cross-Module)" sheetId="15" state="visible" r:id="rId1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0B1C3F"/>
      <sz val="20"/>
    </font>
    <font>
      <i val="1"/>
      <color rgb="0044506B"/>
      <sz val="11"/>
    </font>
    <font>
      <b val="1"/>
      <color rgb="00FFFFFF"/>
      <sz val="11"/>
    </font>
    <font>
      <b val="1"/>
      <sz val="10.5"/>
    </font>
    <font>
      <b val="1"/>
      <color rgb="000B1C3F"/>
      <sz val="16"/>
    </font>
    <font>
      <sz val="10.5"/>
    </font>
    <font>
      <b val="1"/>
      <color rgb="000B1C3F"/>
      <sz val="10.5"/>
    </font>
    <font>
      <b val="1"/>
      <color rgb="000B1C3F"/>
      <sz val="13"/>
    </font>
  </fonts>
  <fills count="5">
    <fill>
      <patternFill/>
    </fill>
    <fill>
      <patternFill patternType="gray125"/>
    </fill>
    <fill>
      <patternFill patternType="solid">
        <fgColor rgb="000B1C3F"/>
      </patternFill>
    </fill>
    <fill>
      <patternFill patternType="solid">
        <fgColor rgb="00EDEFF3"/>
      </patternFill>
    </fill>
    <fill>
      <patternFill patternType="solid">
        <fgColor rgb="00DCE3EC"/>
      </patternFill>
    </fill>
  </fills>
  <borders count="6">
    <border>
      <left/>
      <right/>
      <top/>
      <bottom/>
      <diagonal/>
    </border>
    <border>
      <left style="thin">
        <color rgb="00D8DCE3"/>
      </left>
      <right style="thin">
        <color rgb="00D8DCE3"/>
      </right>
      <top style="thin">
        <color rgb="00D8DCE3"/>
      </top>
      <bottom style="thin">
        <color rgb="00D8DCE3"/>
      </bottom>
    </border>
    <border>
      <left/>
      <right/>
      <top style="thin">
        <color rgb="00D8DCE3"/>
      </top>
      <bottom/>
      <diagonal/>
    </border>
    <border>
      <left/>
      <right style="thin">
        <color rgb="00D8DCE3"/>
      </right>
      <top style="thin">
        <color rgb="00D8DCE3"/>
      </top>
      <bottom/>
      <diagonal/>
    </border>
    <border>
      <left/>
      <right/>
      <top style="thin">
        <color rgb="00D8DCE3"/>
      </top>
      <bottom style="thin">
        <color rgb="00D8DCE3"/>
      </bottom>
      <diagonal/>
    </border>
    <border>
      <left/>
      <right style="thin">
        <color rgb="00D8DCE3"/>
      </right>
      <top style="thin">
        <color rgb="00D8DCE3"/>
      </top>
      <bottom style="thin">
        <color rgb="00D8DCE3"/>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0" fillId="3" borderId="1" pivotButton="0" quotePrefix="0" xfId="0"/>
    <xf numFmtId="0" fontId="0" fillId="0" borderId="1"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4" borderId="1" pivotButton="0" quotePrefix="0" xfId="0"/>
    <xf numFmtId="0" fontId="0" fillId="4" borderId="1" pivotButton="0" quotePrefix="0" xfId="0"/>
    <xf numFmtId="0" fontId="4" fillId="0" borderId="0" pivotButton="0" quotePrefix="0" xfId="0"/>
    <xf numFmtId="0" fontId="0" fillId="3" borderId="0" applyAlignment="1" pivotButton="0" quotePrefix="0" xfId="0">
      <alignment vertical="top" wrapText="1"/>
    </xf>
    <xf numFmtId="0" fontId="5" fillId="0" borderId="0" pivotButton="0" quotePrefix="0" xfId="0"/>
    <xf numFmtId="0" fontId="6" fillId="0" borderId="0" applyAlignment="1" pivotButton="0" quotePrefix="0" xfId="0">
      <alignment horizontal="left" vertical="top" wrapText="1"/>
    </xf>
    <xf numFmtId="0" fontId="7" fillId="0" borderId="0" pivotButton="0" quotePrefix="0" xfId="0"/>
    <xf numFmtId="0" fontId="8" fillId="0" borderId="0" pivotButton="0" quotePrefix="0" xfId="0"/>
    <xf numFmtId="0" fontId="3" fillId="2" borderId="1" applyAlignment="1" pivotButton="0" quotePrefix="0" xfId="0">
      <alignment horizontal="center" vertical="center" wrapText="1"/>
    </xf>
    <xf numFmtId="0" fontId="7" fillId="4" borderId="1" pivotButton="0" quotePrefix="0" xfId="0"/>
    <xf numFmtId="0" fontId="0" fillId="0" borderId="4" pivotButton="0" quotePrefix="0" xfId="0"/>
    <xf numFmtId="0" fontId="0" fillId="0" borderId="5"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top" wrapText="1"/>
    </xf>
    <xf numFmtId="164"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showGridLines="0" workbookViewId="0">
      <selection activeCell="A1" sqref="A1"/>
    </sheetView>
  </sheetViews>
  <sheetFormatPr baseColWidth="8" defaultRowHeight="15"/>
  <cols>
    <col width="34" customWidth="1" min="1" max="1"/>
    <col width="3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CLOZR MOBILE APP</t>
        </is>
      </c>
    </row>
    <row r="2">
      <c r="A2" s="2" t="inlineStr">
        <is>
          <t>UAT &amp; System Test Checklist  —  Mobile Release Validation  ·  v1</t>
        </is>
      </c>
    </row>
    <row r="4">
      <c r="A4" s="3" t="inlineStr">
        <is>
          <t>TEST RUN DETAILS</t>
        </is>
      </c>
    </row>
    <row r="5">
      <c r="A5" s="4" t="inlineStr">
        <is>
          <t>Tester name</t>
        </is>
      </c>
      <c r="B5" s="5" t="inlineStr"/>
      <c r="C5" s="4" t="inlineStr">
        <is>
          <t>Device model &amp; OS version</t>
        </is>
      </c>
      <c r="D5" s="5" t="inlineStr"/>
      <c r="E5" s="20" t="n"/>
    </row>
    <row r="6">
      <c r="A6" s="4" t="inlineStr">
        <is>
          <t>Tester role</t>
        </is>
      </c>
      <c r="B6" s="5" t="inlineStr"/>
      <c r="C6" s="4" t="inlineStr">
        <is>
          <t>App build / version</t>
        </is>
      </c>
      <c r="D6" s="5" t="inlineStr"/>
      <c r="E6" s="20" t="n"/>
    </row>
    <row r="7">
      <c r="A7" s="4" t="inlineStr">
        <is>
          <t>Company / workspace</t>
        </is>
      </c>
      <c r="B7" s="5" t="inlineStr"/>
      <c r="C7" s="4" t="inlineStr">
        <is>
          <t>Test start (date &amp; time)</t>
        </is>
      </c>
      <c r="D7" s="5" t="inlineStr"/>
      <c r="E7" s="20" t="n"/>
    </row>
    <row r="8">
      <c r="A8" s="4" t="inlineStr">
        <is>
          <t>Backend environment / URL</t>
        </is>
      </c>
      <c r="B8" s="5" t="inlineStr"/>
      <c r="C8" s="4" t="inlineStr">
        <is>
          <t>Test end (date &amp; time)</t>
        </is>
      </c>
      <c r="D8" s="5" t="inlineStr"/>
      <c r="E8" s="20" t="n"/>
    </row>
    <row r="10">
      <c r="A10" s="3" t="inlineStr">
        <is>
          <t>RESULTS SUMMARY  (fill in as you go — totals below are per sheet)</t>
        </is>
      </c>
    </row>
    <row r="11">
      <c r="A11" s="7" t="inlineStr">
        <is>
          <t>Module (sheet)</t>
        </is>
      </c>
      <c r="B11" s="7" t="inlineStr">
        <is>
          <t>Total</t>
        </is>
      </c>
      <c r="C11" s="7" t="inlineStr">
        <is>
          <t>Pass</t>
        </is>
      </c>
      <c r="D11" s="7" t="inlineStr">
        <is>
          <t>Fail</t>
        </is>
      </c>
      <c r="E11" s="7" t="inlineStr">
        <is>
          <t>Blocked</t>
        </is>
      </c>
      <c r="F11" s="7" t="inlineStr">
        <is>
          <t>N/A</t>
        </is>
      </c>
      <c r="G11" s="7" t="inlineStr">
        <is>
          <t>Not Run</t>
        </is>
      </c>
      <c r="H11" s="7" t="inlineStr">
        <is>
          <t>% Passed</t>
        </is>
      </c>
    </row>
    <row r="12">
      <c r="A12" s="6" t="inlineStr">
        <is>
          <t>1. Onboarding &amp; Login</t>
        </is>
      </c>
      <c r="B12" s="8">
        <f>COUNT('1. Onboarding &amp; Login'!A3:A34)</f>
        <v/>
      </c>
      <c r="C12" s="6">
        <f>COUNTIF('1. Onboarding &amp; Login'!D3:D34,"Pass")</f>
        <v/>
      </c>
      <c r="D12" s="6">
        <f>COUNTIF('1. Onboarding &amp; Login'!D3:D34,"Fail")</f>
        <v/>
      </c>
      <c r="E12" s="6">
        <f>COUNTIF('1. Onboarding &amp; Login'!D3:D34,"Blocked")</f>
        <v/>
      </c>
      <c r="F12" s="6">
        <f>COUNTIF('1. Onboarding &amp; Login'!D3:D34,"N/A")</f>
        <v/>
      </c>
      <c r="G12" s="8">
        <f>B12-C12-D12-E12-F12</f>
        <v/>
      </c>
      <c r="H12" s="23">
        <f>IFERROR(C12/B12,0)</f>
        <v/>
      </c>
    </row>
    <row r="13">
      <c r="A13" s="6" t="inlineStr">
        <is>
          <t>People - Members, Teams &amp; Roles</t>
        </is>
      </c>
      <c r="B13" s="8">
        <f>COUNT('2. People'!A3:A31)</f>
        <v/>
      </c>
      <c r="C13" s="6">
        <f>COUNTIF('2. People'!D3:D31,"Pass")</f>
        <v/>
      </c>
      <c r="D13" s="6">
        <f>COUNTIF('2. People'!D3:D31,"Fail")</f>
        <v/>
      </c>
      <c r="E13" s="6">
        <f>COUNTIF('2. People'!D3:D31,"Blocked")</f>
        <v/>
      </c>
      <c r="F13" s="6">
        <f>COUNTIF('2. People'!D3:D31,"N/A")</f>
        <v/>
      </c>
      <c r="G13" s="8">
        <f>B13-C13-D13-E13-F13</f>
        <v/>
      </c>
      <c r="H13" s="23">
        <f>IFERROR(C13/B13,0)</f>
        <v/>
      </c>
    </row>
    <row r="14">
      <c r="A14" s="6" t="inlineStr">
        <is>
          <t>CRM - Leads</t>
        </is>
      </c>
      <c r="B14" s="8">
        <f>COUNT('3. CRM - Leads'!A3:A46)</f>
        <v/>
      </c>
      <c r="C14" s="6">
        <f>COUNTIF('3. CRM - Leads'!D3:D46,"Pass")</f>
        <v/>
      </c>
      <c r="D14" s="6">
        <f>COUNTIF('3. CRM - Leads'!D3:D46,"Fail")</f>
        <v/>
      </c>
      <c r="E14" s="6">
        <f>COUNTIF('3. CRM - Leads'!D3:D46,"Blocked")</f>
        <v/>
      </c>
      <c r="F14" s="6">
        <f>COUNTIF('3. CRM - Leads'!D3:D46,"N/A")</f>
        <v/>
      </c>
      <c r="G14" s="8">
        <f>B14-C14-D14-E14-F14</f>
        <v/>
      </c>
      <c r="H14" s="23">
        <f>IFERROR(C14/B14,0)</f>
        <v/>
      </c>
    </row>
    <row r="15">
      <c r="A15" s="6" t="inlineStr">
        <is>
          <t>CRM - Customers, Contacts &amp; Products</t>
        </is>
      </c>
      <c r="B15" s="8">
        <f>COUNT('4. CRM - Customers &amp; Products'!A3:A57)</f>
        <v/>
      </c>
      <c r="C15" s="6">
        <f>COUNTIF('4. CRM - Customers &amp; Products'!D3:D57,"Pass")</f>
        <v/>
      </c>
      <c r="D15" s="6">
        <f>COUNTIF('4. CRM - Customers &amp; Products'!D3:D57,"Fail")</f>
        <v/>
      </c>
      <c r="E15" s="6">
        <f>COUNTIF('4. CRM - Customers &amp; Products'!D3:D57,"Blocked")</f>
        <v/>
      </c>
      <c r="F15" s="6">
        <f>COUNTIF('4. CRM - Customers &amp; Products'!D3:D57,"N/A")</f>
        <v/>
      </c>
      <c r="G15" s="8">
        <f>B15-C15-D15-E15-F15</f>
        <v/>
      </c>
      <c r="H15" s="23">
        <f>IFERROR(C15/B15,0)</f>
        <v/>
      </c>
    </row>
    <row r="16">
      <c r="A16" s="6" t="inlineStr">
        <is>
          <t>Money Path - Quotes, Payments &amp; Invoices</t>
        </is>
      </c>
      <c r="B16" s="8">
        <f>COUNT('5. Money Path'!A3:A38)</f>
        <v/>
      </c>
      <c r="C16" s="6">
        <f>COUNTIF('5. Money Path'!D3:D38,"Pass")</f>
        <v/>
      </c>
      <c r="D16" s="6">
        <f>COUNTIF('5. Money Path'!D3:D38,"Fail")</f>
        <v/>
      </c>
      <c r="E16" s="6">
        <f>COUNTIF('5. Money Path'!D3:D38,"Blocked")</f>
        <v/>
      </c>
      <c r="F16" s="6">
        <f>COUNTIF('5. Money Path'!D3:D38,"N/A")</f>
        <v/>
      </c>
      <c r="G16" s="8">
        <f>B16-C16-D16-E16-F16</f>
        <v/>
      </c>
      <c r="H16" s="23">
        <f>IFERROR(C16/B16,0)</f>
        <v/>
      </c>
    </row>
    <row r="17">
      <c r="A17" s="6" t="inlineStr">
        <is>
          <t>Tasks, Follow-ups, Notes, Calls &amp; Helpdesk</t>
        </is>
      </c>
      <c r="B17" s="8">
        <f>COUNT('6. Tasks &amp; Helpdesk'!A3:A53)</f>
        <v/>
      </c>
      <c r="C17" s="6">
        <f>COUNTIF('6. Tasks &amp; Helpdesk'!D3:D53,"Pass")</f>
        <v/>
      </c>
      <c r="D17" s="6">
        <f>COUNTIF('6. Tasks &amp; Helpdesk'!D3:D53,"Fail")</f>
        <v/>
      </c>
      <c r="E17" s="6">
        <f>COUNTIF('6. Tasks &amp; Helpdesk'!D3:D53,"Blocked")</f>
        <v/>
      </c>
      <c r="F17" s="6">
        <f>COUNTIF('6. Tasks &amp; Helpdesk'!D3:D53,"N/A")</f>
        <v/>
      </c>
      <c r="G17" s="8">
        <f>B17-C17-D17-E17-F17</f>
        <v/>
      </c>
      <c r="H17" s="23">
        <f>IFERROR(C17/B17,0)</f>
        <v/>
      </c>
    </row>
    <row r="18">
      <c r="A18" s="6" t="inlineStr">
        <is>
          <t>Projects &amp; Operations</t>
        </is>
      </c>
      <c r="B18" s="8">
        <f>COUNT('7. Projects &amp; Operations'!A3:A40)</f>
        <v/>
      </c>
      <c r="C18" s="6">
        <f>COUNTIF('7. Projects &amp; Operations'!D3:D40,"Pass")</f>
        <v/>
      </c>
      <c r="D18" s="6">
        <f>COUNTIF('7. Projects &amp; Operations'!D3:D40,"Fail")</f>
        <v/>
      </c>
      <c r="E18" s="6">
        <f>COUNTIF('7. Projects &amp; Operations'!D3:D40,"Blocked")</f>
        <v/>
      </c>
      <c r="F18" s="6">
        <f>COUNTIF('7. Projects &amp; Operations'!D3:D40,"N/A")</f>
        <v/>
      </c>
      <c r="G18" s="8">
        <f>B18-C18-D18-E18-F18</f>
        <v/>
      </c>
      <c r="H18" s="23">
        <f>IFERROR(C18/B18,0)</f>
        <v/>
      </c>
    </row>
    <row r="19">
      <c r="A19" s="6" t="inlineStr">
        <is>
          <t>Messages - Chat &amp; WhatsApp</t>
        </is>
      </c>
      <c r="B19" s="8">
        <f>COUNT('8. Messages'!A3:A31)</f>
        <v/>
      </c>
      <c r="C19" s="6">
        <f>COUNTIF('8. Messages'!D3:D31,"Pass")</f>
        <v/>
      </c>
      <c r="D19" s="6">
        <f>COUNTIF('8. Messages'!D3:D31,"Fail")</f>
        <v/>
      </c>
      <c r="E19" s="6">
        <f>COUNTIF('8. Messages'!D3:D31,"Blocked")</f>
        <v/>
      </c>
      <c r="F19" s="6">
        <f>COUNTIF('8. Messages'!D3:D31,"N/A")</f>
        <v/>
      </c>
      <c r="G19" s="8">
        <f>B19-C19-D19-E19-F19</f>
        <v/>
      </c>
      <c r="H19" s="23">
        <f>IFERROR(C19/B19,0)</f>
        <v/>
      </c>
    </row>
    <row r="20">
      <c r="A20" s="6" t="inlineStr">
        <is>
          <t>Training (LMS)</t>
        </is>
      </c>
      <c r="B20" s="8">
        <f>COUNT('9. Training (LMS)'!A3:A26)</f>
        <v/>
      </c>
      <c r="C20" s="6">
        <f>COUNTIF('9. Training (LMS)'!D3:D26,"Pass")</f>
        <v/>
      </c>
      <c r="D20" s="6">
        <f>COUNTIF('9. Training (LMS)'!D3:D26,"Fail")</f>
        <v/>
      </c>
      <c r="E20" s="6">
        <f>COUNTIF('9. Training (LMS)'!D3:D26,"Blocked")</f>
        <v/>
      </c>
      <c r="F20" s="6">
        <f>COUNTIF('9. Training (LMS)'!D3:D26,"N/A")</f>
        <v/>
      </c>
      <c r="G20" s="8">
        <f>B20-C20-D20-E20-F20</f>
        <v/>
      </c>
      <c r="H20" s="23">
        <f>IFERROR(C20/B20,0)</f>
        <v/>
      </c>
    </row>
    <row r="21">
      <c r="A21" s="6" t="inlineStr">
        <is>
          <t>Rewards</t>
        </is>
      </c>
      <c r="B21" s="8">
        <f>COUNT('10. Rewards'!A3:A12)</f>
        <v/>
      </c>
      <c r="C21" s="6">
        <f>COUNTIF('10. Rewards'!D3:D12,"Pass")</f>
        <v/>
      </c>
      <c r="D21" s="6">
        <f>COUNTIF('10. Rewards'!D3:D12,"Fail")</f>
        <v/>
      </c>
      <c r="E21" s="6">
        <f>COUNTIF('10. Rewards'!D3:D12,"Blocked")</f>
        <v/>
      </c>
      <c r="F21" s="6">
        <f>COUNTIF('10. Rewards'!D3:D12,"N/A")</f>
        <v/>
      </c>
      <c r="G21" s="8">
        <f>B21-C21-D21-E21-F21</f>
        <v/>
      </c>
      <c r="H21" s="23">
        <f>IFERROR(C21/B21,0)</f>
        <v/>
      </c>
    </row>
    <row r="22">
      <c r="A22" s="6" t="inlineStr">
        <is>
          <t>Dashboard &amp; Reports</t>
        </is>
      </c>
      <c r="B22" s="8">
        <f>COUNT('11. Dashboard &amp; Reports'!A3:A22)</f>
        <v/>
      </c>
      <c r="C22" s="6">
        <f>COUNTIF('11. Dashboard &amp; Reports'!D3:D22,"Pass")</f>
        <v/>
      </c>
      <c r="D22" s="6">
        <f>COUNTIF('11. Dashboard &amp; Reports'!D3:D22,"Fail")</f>
        <v/>
      </c>
      <c r="E22" s="6">
        <f>COUNTIF('11. Dashboard &amp; Reports'!D3:D22,"Blocked")</f>
        <v/>
      </c>
      <c r="F22" s="6">
        <f>COUNTIF('11. Dashboard &amp; Reports'!D3:D22,"N/A")</f>
        <v/>
      </c>
      <c r="G22" s="8">
        <f>B22-C22-D22-E22-F22</f>
        <v/>
      </c>
      <c r="H22" s="23">
        <f>IFERROR(C22/B22,0)</f>
        <v/>
      </c>
    </row>
    <row r="23">
      <c r="A23" s="6" t="inlineStr">
        <is>
          <t>Notifications</t>
        </is>
      </c>
      <c r="B23" s="8">
        <f>COUNT('12. Notifications'!A3:A13)</f>
        <v/>
      </c>
      <c r="C23" s="6">
        <f>COUNTIF('12. Notifications'!D3:D13,"Pass")</f>
        <v/>
      </c>
      <c r="D23" s="6">
        <f>COUNTIF('12. Notifications'!D3:D13,"Fail")</f>
        <v/>
      </c>
      <c r="E23" s="6">
        <f>COUNTIF('12. Notifications'!D3:D13,"Blocked")</f>
        <v/>
      </c>
      <c r="F23" s="6">
        <f>COUNTIF('12. Notifications'!D3:D13,"N/A")</f>
        <v/>
      </c>
      <c r="G23" s="8">
        <f>B23-C23-D23-E23-F23</f>
        <v/>
      </c>
      <c r="H23" s="23">
        <f>IFERROR(C23/B23,0)</f>
        <v/>
      </c>
    </row>
    <row r="24">
      <c r="A24" s="6" t="inlineStr">
        <is>
          <t>Misc (Cross-Module, Mobile)</t>
        </is>
      </c>
      <c r="B24" s="8">
        <f>COUNT('13. Misc (Cross-Module)'!A3:A28)</f>
        <v/>
      </c>
      <c r="C24" s="6">
        <f>COUNTIF('13. Misc (Cross-Module)'!D3:D28,"Pass")</f>
        <v/>
      </c>
      <c r="D24" s="6">
        <f>COUNTIF('13. Misc (Cross-Module)'!D3:D28,"Fail")</f>
        <v/>
      </c>
      <c r="E24" s="6">
        <f>COUNTIF('13. Misc (Cross-Module)'!D3:D28,"Blocked")</f>
        <v/>
      </c>
      <c r="F24" s="6">
        <f>COUNTIF('13. Misc (Cross-Module)'!D3:D28,"N/A")</f>
        <v/>
      </c>
      <c r="G24" s="8">
        <f>B24-C24-D24-E24-F24</f>
        <v/>
      </c>
      <c r="H24" s="23">
        <f>IFERROR(C24/B24,0)</f>
        <v/>
      </c>
    </row>
    <row r="25">
      <c r="A25" s="9" t="inlineStr">
        <is>
          <t>GRAND TOTAL</t>
        </is>
      </c>
      <c r="B25" s="7">
        <f>SUM(B12:B24)</f>
        <v/>
      </c>
      <c r="C25" s="10">
        <f>SUM(C12:C24)</f>
        <v/>
      </c>
      <c r="D25" s="10">
        <f>SUM(D12:D24)</f>
        <v/>
      </c>
      <c r="E25" s="10">
        <f>SUM(E12:E24)</f>
        <v/>
      </c>
      <c r="F25" s="10">
        <f>SUM(F12:F24)</f>
        <v/>
      </c>
      <c r="G25" s="10">
        <f>SUM(G12:G24)</f>
        <v/>
      </c>
      <c r="H25" s="23">
        <f>IFERROR(C25/B25,0)</f>
        <v/>
      </c>
    </row>
    <row r="27">
      <c r="A27" s="11" t="inlineStr">
        <is>
          <t>Overall release verdict</t>
        </is>
      </c>
      <c r="B27" t="inlineStr">
        <is>
          <t>Go / No-Go</t>
        </is>
      </c>
    </row>
    <row r="28">
      <c r="A28" s="11" t="inlineStr">
        <is>
          <t>Signed off by / date</t>
        </is>
      </c>
    </row>
    <row r="30">
      <c r="A30" s="11" t="inlineStr">
        <is>
          <t>Notes / blockers:</t>
        </is>
      </c>
    </row>
    <row r="31">
      <c r="A31" s="12" t="n"/>
    </row>
    <row r="32"/>
    <row r="33"/>
    <row r="34"/>
    <row r="35"/>
  </sheetData>
  <mergeCells count="9">
    <mergeCell ref="D8:E8"/>
    <mergeCell ref="D6:E6"/>
    <mergeCell ref="A1:G1"/>
    <mergeCell ref="A31:G35"/>
    <mergeCell ref="D7:E7"/>
    <mergeCell ref="D5:E5"/>
    <mergeCell ref="A4:G4"/>
    <mergeCell ref="A2:G2"/>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B33"/>
  <sheetViews>
    <sheetView showGridLines="0" workbookViewId="0">
      <selection activeCell="A1" sqref="A1"/>
    </sheetView>
  </sheetViews>
  <sheetFormatPr baseColWidth="8" defaultRowHeight="15"/>
  <cols>
    <col width="4" customWidth="1" min="1" max="1"/>
    <col width="110" customWidth="1" min="2" max="2"/>
  </cols>
  <sheetData>
    <row r="2">
      <c r="A2" s="13" t="inlineStr">
        <is>
          <t>How to use this checklist</t>
        </is>
      </c>
    </row>
    <row r="4" ht="45" customHeight="1">
      <c r="B4" s="14" t="inlineStr">
        <is>
          <t>This workbook checks that the Clozr MOBILE app (the Flutter phone app, not the web app) works before it goes live. You do not need any technical knowledge. Just do what each row says on your phone and mark what happened.</t>
        </is>
      </c>
    </row>
    <row r="6">
      <c r="B6" s="15" t="inlineStr">
        <is>
          <t>About this workbook</t>
        </is>
      </c>
    </row>
    <row r="7" ht="45" customHeight="1">
      <c r="B7" s="14" t="inlineStr">
        <is>
          <t>This checklist covers only what the mobile app actually does today. Several things that exist on the Clozr web app — for example: company sign-up, custom role/permission builders that fully persist, hierarchical territory management, duplicate-lead detection, Meta Ads / webhook capture, Automations, a real course builder with quizzes, a Goals &amp; Rewards admin console, data export/import, and multi-session security settings — are NOT available on mobile in this build, or are shown read-only. Where that's the case, a row says so plainly (often in a section called 'Not available on mobile') instead of describing a feature that doesn't exist. If you find the app now DOES do one of these things, that's good news — just mark it Pass and note it.</t>
        </is>
      </c>
    </row>
    <row r="9">
      <c r="B9" s="15" t="inlineStr">
        <is>
          <t>The tabs at the bottom</t>
        </is>
      </c>
    </row>
    <row r="10" ht="30" customHeight="1">
      <c r="B10" s="14" t="inlineStr">
        <is>
          <t>•  Cover — fill in your name and details at the top. Fill in the results table as you finish each sheet.</t>
        </is>
      </c>
    </row>
    <row r="11" ht="30" customHeight="1">
      <c r="B11" s="14" t="inlineStr">
        <is>
          <t>•  How to Use — this page.</t>
        </is>
      </c>
    </row>
    <row r="12" ht="30" customHeight="1">
      <c r="B12" s="14" t="inlineStr">
        <is>
          <t>•  One tab per area of the mobile app: Onboarding &amp; Login, People, CRM (Leads / Customers &amp; Products / Money Path), Tasks &amp; Helpdesk, Projects &amp; Operations, Messages, Training, Rewards, Dashboard &amp; Reports, Notifications.</t>
        </is>
      </c>
    </row>
    <row r="13" ht="30" customHeight="1">
      <c r="B13" s="14" t="inlineStr">
        <is>
          <t>•  The last tab, 'Misc', covers things that affect the whole app: navigation, offline behaviour, file uploads, odd input, and data separation between companies.</t>
        </is>
      </c>
    </row>
    <row r="14">
      <c r="B14" s="15" t="inlineStr">
        <is>
          <t>Each test row has five columns</t>
        </is>
      </c>
    </row>
    <row r="15" ht="30" customHeight="1">
      <c r="B15" s="14" t="inlineStr">
        <is>
          <t>•  Sl No — the row number.</t>
        </is>
      </c>
    </row>
    <row r="16" ht="30" customHeight="1">
      <c r="B16" s="14" t="inlineStr">
        <is>
          <t>•  Action — what YOU should do on the phone (tap, swipe, pull to refresh, open a bottom sheet, etc.).</t>
        </is>
      </c>
    </row>
    <row r="17" ht="30" customHeight="1">
      <c r="B17" s="14" t="inlineStr">
        <is>
          <t>•  Expected Outcome — what SHOULD happen if the app is working correctly.</t>
        </is>
      </c>
    </row>
    <row r="18" ht="30" customHeight="1">
      <c r="B18" s="14" t="inlineStr">
        <is>
          <t>•  Result — click the cell and pick Pass, Fail, Blocked or N/A from the drop-down.</t>
        </is>
      </c>
    </row>
    <row r="19" ht="30" customHeight="1">
      <c r="B19" s="14" t="inlineStr">
        <is>
          <t>•  Remarks — write anything you noticed: what went wrong, a screenshot name, or a question.</t>
        </is>
      </c>
    </row>
    <row r="20">
      <c r="B20" s="15" t="inlineStr">
        <is>
          <t>What the Result choices mean</t>
        </is>
      </c>
    </row>
    <row r="21" ht="30" customHeight="1">
      <c r="B21" s="14" t="inlineStr">
        <is>
          <t>•  Pass — the app did exactly what the Expected Outcome says.</t>
        </is>
      </c>
    </row>
    <row r="22" ht="30" customHeight="1">
      <c r="B22" s="14" t="inlineStr">
        <is>
          <t>•  Fail — the app did something different, showed an error, or nothing happened. Always add a Remark.</t>
        </is>
      </c>
    </row>
    <row r="23" ht="30" customHeight="1">
      <c r="B23" s="14" t="inlineStr">
        <is>
          <t>•  Blocked — you could not test it (e.g. an earlier step failed, or you don't have the right test account). Add a Remark.</t>
        </is>
      </c>
    </row>
    <row r="24" ht="30" customHeight="1">
      <c r="B24" s="14" t="inlineStr">
        <is>
          <t>•  N/A — this test does not apply to your build/plan/role, or it describes a feature already confirmed absent from mobile (see the Remarks/Note text on that row).</t>
        </is>
      </c>
    </row>
    <row r="25">
      <c r="B25" s="15" t="inlineStr">
        <is>
          <t>Tips</t>
        </is>
      </c>
    </row>
    <row r="26" ht="30" customHeight="1">
      <c r="B26" s="14" t="inlineStr">
        <is>
          <t>•  Work top to bottom within a tab — rows follow the order a real user would move through the app.</t>
        </is>
      </c>
    </row>
    <row r="27" ht="30" customHeight="1">
      <c r="B27" s="14" t="inlineStr">
        <is>
          <t>•  Grey rows are section titles, not tests — just skip over them.</t>
        </is>
      </c>
    </row>
    <row r="28" ht="30" customHeight="1">
      <c r="B28" s="14" t="inlineStr">
        <is>
          <t>•  When you mark a Fail, note the exact message you saw and the steps to reproduce it.</t>
        </is>
      </c>
    </row>
    <row r="29" ht="30" customHeight="1">
      <c r="B29" s="14" t="inlineStr">
        <is>
          <t>•  Test on both a small phone screen and a larger one if you have access to more than one device.</t>
        </is>
      </c>
    </row>
    <row r="30" ht="30" customHeight="1">
      <c r="B30" s="14" t="inlineStr">
        <is>
          <t>•  Rows whose note already flags a known limitation are there so you CONFIRM current behaviour, not to catch a surprise — mark Pass if the app behaves exactly as the note describes, Fail if it's worse than the note describes (e.g. a crash instead of a graceful placeholder).</t>
        </is>
      </c>
    </row>
    <row r="31">
      <c r="B31" s="15" t="inlineStr">
        <is>
          <t>Two important things to watch for everywhere</t>
        </is>
      </c>
    </row>
    <row r="32" ht="30" customHeight="1">
      <c r="B32" s="14" t="inlineStr">
        <is>
          <t>•  The bottom navigation and side drawer should never be blank after signing in. If they are, mark it Fail on the Misc tab.</t>
        </is>
      </c>
    </row>
    <row r="33" ht="30" customHeight="1">
      <c r="B33" s="14" t="inlineStr">
        <is>
          <t>•  You should never see a raw technical error, a blank white screen, or a loading spinner that never stops. If you do, note it as a Fail with the screen name.</t>
        </is>
      </c>
    </row>
  </sheetData>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1. Onboarding &amp; Login</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SIGN IN</t>
        </is>
      </c>
      <c r="C3" s="19" t="n"/>
      <c r="D3" s="19" t="n"/>
      <c r="E3" s="20" t="n"/>
    </row>
    <row r="4" ht="53" customHeight="1">
      <c r="A4" s="21" t="n">
        <v>1</v>
      </c>
      <c r="B4" s="22" t="inlineStr">
        <is>
          <t>Open the app for the first time (or after signing out) and check the sign-in screen.</t>
        </is>
      </c>
      <c r="C4" s="22" t="inlineStr">
        <is>
          <t>A 'Sign in to your workspace' screen shows Work email and Password fields and a Sign in button. No sign-up / create-company option is offered.</t>
        </is>
      </c>
      <c r="D4" s="21" t="n"/>
      <c r="E4" s="22" t="inlineStr">
        <is>
          <t>Company/workspace creation is a web-only flow. On mobile you sign in to an existing workspace only.</t>
        </is>
      </c>
    </row>
    <row r="5" ht="32" customHeight="1">
      <c r="A5" s="21" t="n">
        <v>2</v>
      </c>
      <c r="B5" s="22" t="inlineStr">
        <is>
          <t>Leave email and password blank and tap Sign in.</t>
        </is>
      </c>
      <c r="C5" s="22" t="inlineStr">
        <is>
          <t>Blocked with 'Enter your email and password.' — no request is sent.</t>
        </is>
      </c>
      <c r="D5" s="21" t="n"/>
      <c r="E5" s="22" t="inlineStr"/>
    </row>
    <row r="6" ht="35" customHeight="1">
      <c r="A6" s="21" t="n">
        <v>3</v>
      </c>
      <c r="B6" s="22" t="inlineStr">
        <is>
          <t>Enter a badly formed email (e.g. 'john@') with any password and tap Sign in.</t>
        </is>
      </c>
      <c r="C6" s="22" t="inlineStr">
        <is>
          <t>Blocked with 'Enter a valid email address.'</t>
        </is>
      </c>
      <c r="D6" s="21" t="n"/>
      <c r="E6" s="22" t="inlineStr"/>
    </row>
    <row r="7" ht="40" customHeight="1">
      <c r="A7" s="21" t="n">
        <v>4</v>
      </c>
      <c r="B7" s="22" t="inlineStr">
        <is>
          <t>Enter a correct email with the wrong password.</t>
        </is>
      </c>
      <c r="C7" s="22" t="inlineStr">
        <is>
          <t>Refused with 'Incorrect email or password.' — the message does not say whether the email exists.</t>
        </is>
      </c>
      <c r="D7" s="21" t="n"/>
      <c r="E7" s="22" t="inlineStr"/>
    </row>
    <row r="8" ht="41" customHeight="1">
      <c r="A8" s="21" t="n">
        <v>5</v>
      </c>
      <c r="B8" s="22" t="inlineStr">
        <is>
          <t>Enter the correct email and password.</t>
        </is>
      </c>
      <c r="C8" s="22" t="inlineStr">
        <is>
          <t>Signed in and taken to the Dashboard (or straight to the 2FA step if the account/org requires it).</t>
        </is>
      </c>
      <c r="D8" s="21" t="n"/>
      <c r="E8" s="22" t="inlineStr"/>
    </row>
    <row r="9" ht="28" customHeight="1">
      <c r="A9" s="21" t="n">
        <v>6</v>
      </c>
      <c r="B9" s="22" t="inlineStr">
        <is>
          <t>Tap the eye icon on the password field.</t>
        </is>
      </c>
      <c r="C9" s="22" t="inlineStr">
        <is>
          <t>Password visibility toggles between hidden and shown.</t>
        </is>
      </c>
      <c r="D9" s="21" t="n"/>
      <c r="E9" s="22" t="inlineStr"/>
    </row>
    <row r="10" ht="41" customHeight="1">
      <c r="A10" s="21" t="n">
        <v>7</v>
      </c>
      <c r="B10" s="22" t="inlineStr">
        <is>
          <t>Tick 'Remember my email', sign in, then sign out and reopen the app.</t>
        </is>
      </c>
      <c r="C10" s="22" t="inlineStr">
        <is>
          <t>The email field is pre-filled on the next sign-in. The password is never remembered or pre-filled.</t>
        </is>
      </c>
      <c r="D10" s="21" t="n"/>
      <c r="E10" s="22" t="inlineStr"/>
    </row>
    <row r="11" ht="45" customHeight="1">
      <c r="A11" s="21" t="n">
        <v>8</v>
      </c>
      <c r="B11" s="22" t="inlineStr">
        <is>
          <t>Untick 'Remember my email' on a device where an email was previously remembered, then sign in and reopen the app.</t>
        </is>
      </c>
      <c r="C11" s="22" t="inlineStr">
        <is>
          <t>The email field is now empty — the previously remembered address was cleared.</t>
        </is>
      </c>
      <c r="D11" s="21" t="n"/>
      <c r="E11" s="22" t="inlineStr"/>
    </row>
    <row r="12" ht="37" customHeight="1">
      <c r="A12" s="21" t="n">
        <v>9</v>
      </c>
      <c r="B12" s="22" t="inlineStr">
        <is>
          <t>Turn off the device's internet connection and try to sign in.</t>
        </is>
      </c>
      <c r="C12" s="22" t="inlineStr">
        <is>
          <t>A clear 'you're offline' style message is shown, not a raw error or frozen spinner.</t>
        </is>
      </c>
      <c r="D12" s="21" t="n"/>
      <c r="E12" s="22" t="inlineStr"/>
    </row>
    <row r="13" ht="18" customHeight="1">
      <c r="A13" s="10" t="inlineStr"/>
      <c r="B13" s="18" t="inlineStr">
        <is>
          <t>B. TWO-FACTOR LOGIN (2FA)</t>
        </is>
      </c>
      <c r="C13" s="19" t="n"/>
      <c r="D13" s="19" t="n"/>
      <c r="E13" s="20" t="n"/>
    </row>
    <row r="14" ht="45" customHeight="1">
      <c r="A14" s="21" t="n">
        <v>10</v>
      </c>
      <c r="B14" s="22" t="inlineStr">
        <is>
          <t>Sign in on an account that already has 2FA enrolled.</t>
        </is>
      </c>
      <c r="C14" s="22" t="inlineStr">
        <is>
          <t>After the password, a 'Two-factor verification' screen asks for a 6-digit authenticator code (or a backup code).</t>
        </is>
      </c>
      <c r="D14" s="21" t="n"/>
      <c r="E14" s="22" t="inlineStr"/>
    </row>
    <row r="15" ht="31" customHeight="1">
      <c r="A15" s="21" t="n">
        <v>11</v>
      </c>
      <c r="B15" s="22" t="inlineStr">
        <is>
          <t>On the code screen, enter a wrong 6-digit code.</t>
        </is>
      </c>
      <c r="C15" s="22" t="inlineStr">
        <is>
          <t>The code is refused and you are not let in; you can try again.</t>
        </is>
      </c>
      <c r="D15" s="21" t="n"/>
      <c r="E15" s="22" t="inlineStr"/>
    </row>
    <row r="16" ht="28" customHeight="1">
      <c r="A16" s="21" t="n">
        <v>12</v>
      </c>
      <c r="B16" s="22" t="inlineStr">
        <is>
          <t>Leave the code box blank and tap Verify.</t>
        </is>
      </c>
      <c r="C16" s="22" t="inlineStr">
        <is>
          <t>Blocked with 'Enter the 6-digit code.'</t>
        </is>
      </c>
      <c r="D16" s="21" t="n"/>
      <c r="E16" s="22" t="inlineStr"/>
    </row>
    <row r="17" ht="28" customHeight="1">
      <c r="A17" s="21" t="n">
        <v>13</v>
      </c>
      <c r="B17" s="22" t="inlineStr">
        <is>
          <t>Enter the correct code from the authenticator app.</t>
        </is>
      </c>
      <c r="C17" s="22" t="inlineStr">
        <is>
          <t>Signed in successfully.</t>
        </is>
      </c>
      <c r="D17" s="21" t="n"/>
      <c r="E17" s="22" t="inlineStr"/>
    </row>
    <row r="18" ht="30" customHeight="1">
      <c r="A18" s="21" t="n">
        <v>14</v>
      </c>
      <c r="B18" s="22" t="inlineStr">
        <is>
          <t>On the code screen, tap 'Back to sign in'.</t>
        </is>
      </c>
      <c r="C18" s="22" t="inlineStr">
        <is>
          <t>Returns to the credentials screen; any error/code is cleared.</t>
        </is>
      </c>
      <c r="D18" s="21" t="n"/>
      <c r="E18" s="22" t="inlineStr"/>
    </row>
    <row r="19" ht="30" customHeight="1">
      <c r="A19" s="21" t="n">
        <v>15</v>
      </c>
      <c r="B19" s="22" t="inlineStr">
        <is>
          <t>Sign in with a backup code instead of the authenticator code.</t>
        </is>
      </c>
      <c r="C19" s="22" t="inlineStr">
        <is>
          <t>A valid backup code is accepted the same as a normal code.</t>
        </is>
      </c>
      <c r="D19" s="21" t="n"/>
      <c r="E19" s="22" t="inlineStr"/>
    </row>
    <row r="20" ht="50" customHeight="1">
      <c r="A20" s="21" t="n">
        <v>16</v>
      </c>
      <c r="B20" s="22" t="inlineStr">
        <is>
          <t>Sign in on an account whose organisation requires 2FA but has not enrolled yet.</t>
        </is>
      </c>
      <c r="C20" s="22" t="inlineStr">
        <is>
          <t>A 'Set up two-factor authentication' screen appears with a secret key to add to an authenticator app, and a box for the first code.</t>
        </is>
      </c>
      <c r="D20" s="21" t="n"/>
      <c r="E20" s="22" t="inlineStr"/>
    </row>
    <row r="21" ht="48" customHeight="1">
      <c r="A21" s="21" t="n">
        <v>17</v>
      </c>
      <c r="B21" s="22" t="inlineStr">
        <is>
          <t>Complete enrolment by entering the first code from the authenticator app.</t>
        </is>
      </c>
      <c r="C21" s="22" t="inlineStr">
        <is>
          <t>Enrolment succeeds; if the response includes backup codes, a 'Save your backup codes' screen is shown before entering the app.</t>
        </is>
      </c>
      <c r="D21" s="21" t="n"/>
      <c r="E21" s="22" t="inlineStr"/>
    </row>
    <row r="22" ht="44" customHeight="1">
      <c r="A22" s="21" t="n">
        <v>18</v>
      </c>
      <c r="B22" s="22" t="inlineStr">
        <is>
          <t>On the backup-codes screen, tap "I've saved these — continue" without writing them down.</t>
        </is>
      </c>
      <c r="C22" s="22" t="inlineStr">
        <is>
          <t>The app proceeds into the workspace; the codes are shown only once and cannot be viewed again from this screen.</t>
        </is>
      </c>
      <c r="D22" s="21" t="n"/>
      <c r="E22" s="22" t="inlineStr"/>
    </row>
    <row r="23" ht="18" customHeight="1">
      <c r="A23" s="10" t="inlineStr"/>
      <c r="B23" s="18" t="inlineStr">
        <is>
          <t>C. SESSION &amp; LOGOUT</t>
        </is>
      </c>
      <c r="C23" s="19" t="n"/>
      <c r="D23" s="19" t="n"/>
      <c r="E23" s="20" t="n"/>
    </row>
    <row r="24" ht="40" customHeight="1">
      <c r="A24" s="21" t="n">
        <v>19</v>
      </c>
      <c r="B24" s="22" t="inlineStr">
        <is>
          <t>Sign in, fully close the app (swipe away from recents), then reopen it.</t>
        </is>
      </c>
      <c r="C24" s="22" t="inlineStr">
        <is>
          <t>You land back in the app already signed in — no need to log in again while the session is valid.</t>
        </is>
      </c>
      <c r="D24" s="21" t="n"/>
      <c r="E24" s="22" t="inlineStr"/>
    </row>
    <row r="25" ht="36" customHeight="1">
      <c r="A25" s="21" t="n">
        <v>20</v>
      </c>
      <c r="B25" s="22" t="inlineStr">
        <is>
          <t>Stay signed in and use the app normally for an extended period.</t>
        </is>
      </c>
      <c r="C25" s="22" t="inlineStr">
        <is>
          <t>You are not thrown out mid-work; the session refreshes quietly in the background.</t>
        </is>
      </c>
      <c r="D25" s="21" t="n"/>
      <c r="E25" s="22" t="inlineStr"/>
    </row>
    <row r="26" ht="59" customHeight="1">
      <c r="A26" s="21" t="n">
        <v>21</v>
      </c>
      <c r="B26" s="22" t="inlineStr">
        <is>
          <t>Have an admin deactivate your user account (or revoke your session) on the web app while you're signed in on mobile, then perform any action.</t>
        </is>
      </c>
      <c r="C26" s="22" t="inlineStr">
        <is>
          <t>The next server request fails with a session-expired response and the app signs you out to the login screen — your cached data for the old company does not linger.</t>
        </is>
      </c>
      <c r="D26" s="21" t="n"/>
      <c r="E26" s="22" t="inlineStr"/>
    </row>
    <row r="27" ht="31" customHeight="1">
      <c r="A27" s="21" t="n">
        <v>22</v>
      </c>
      <c r="B27" s="22" t="inlineStr">
        <is>
          <t>Open the side drawer and check the profile footer.</t>
        </is>
      </c>
      <c r="C27" s="22" t="inlineStr">
        <is>
          <t>Your name, role and avatar (or initials if no photo) are shown.</t>
        </is>
      </c>
      <c r="D27" s="21" t="n"/>
      <c r="E27" s="22" t="inlineStr"/>
    </row>
    <row r="28" ht="41" customHeight="1">
      <c r="A28" s="21" t="n">
        <v>23</v>
      </c>
      <c r="B28" s="22" t="inlineStr">
        <is>
          <t>Tap the gear/settings icon in the drawer footer.</t>
        </is>
      </c>
      <c r="C28" s="22" t="inlineStr">
        <is>
          <t>A 'Settings — coming soon' message appears; no settings screen opens.</t>
        </is>
      </c>
      <c r="D28" s="21" t="n"/>
      <c r="E28" s="22" t="inlineStr">
        <is>
          <t>Confirmed placeholder in the current build — settings/company profile/branding are web-only for now.</t>
        </is>
      </c>
    </row>
    <row r="29" ht="41" customHeight="1">
      <c r="A29" s="21" t="n">
        <v>24</v>
      </c>
      <c r="B29" s="22" t="inlineStr">
        <is>
          <t>Tap Sign out.</t>
        </is>
      </c>
      <c r="C29" s="22" t="inlineStr">
        <is>
          <t>You are returned to the sign-in screen; going back does not show any previous in-app screen or data.</t>
        </is>
      </c>
      <c r="D29" s="21" t="n"/>
      <c r="E29" s="22" t="inlineStr"/>
    </row>
    <row r="30" ht="45" customHeight="1">
      <c r="A30" s="21" t="n">
        <v>25</v>
      </c>
      <c r="B30" s="22" t="inlineStr">
        <is>
          <t>Sign out, then sign back in as a DIFFERENT user in a different company.</t>
        </is>
      </c>
      <c r="C30" s="22" t="inlineStr">
        <is>
          <t>None of the previous company's leads/customers/tickets/etc. are visible or cached — the new sign-in starts clean.</t>
        </is>
      </c>
      <c r="D30" s="21" t="n"/>
      <c r="E30" s="22" t="inlineStr"/>
    </row>
    <row r="31" ht="18" customHeight="1">
      <c r="A31" s="10" t="inlineStr"/>
      <c r="B31" s="18" t="inlineStr">
        <is>
          <t>D. MENU &amp; MODULE ACCESS</t>
        </is>
      </c>
      <c r="C31" s="19" t="n"/>
      <c r="D31" s="19" t="n"/>
      <c r="E31" s="20" t="n"/>
    </row>
    <row r="32" ht="52" customHeight="1">
      <c r="A32" s="21" t="n">
        <v>26</v>
      </c>
      <c r="B32" s="22" t="inlineStr">
        <is>
          <t>Sign in and open the side drawer/menu.</t>
        </is>
      </c>
      <c r="C32" s="22" t="inlineStr">
        <is>
          <t>It lists the modules your role and plan allow (CRM, Operations, Helpdesk, Training, Rewards, Dashboard, etc.) — it is never blank or empty.</t>
        </is>
      </c>
      <c r="D32" s="21" t="n"/>
      <c r="E32" s="22" t="inlineStr"/>
    </row>
    <row r="33" ht="40" customHeight="1">
      <c r="A33" s="21" t="n">
        <v>27</v>
      </c>
      <c r="B33" s="22" t="inlineStr">
        <is>
          <t>Compare the drawer for an admin-type user vs. a limited-role user (two different test accounts).</t>
        </is>
      </c>
      <c r="C33" s="22" t="inlineStr">
        <is>
          <t>The limited user sees fewer modules/menu rows than the admin; each only what their role permits.</t>
        </is>
      </c>
      <c r="D33" s="21" t="n"/>
      <c r="E33" s="22" t="inlineStr"/>
    </row>
    <row r="34" ht="47" customHeight="1">
      <c r="A34" s="21" t="n">
        <v>28</v>
      </c>
      <c r="B34" s="22" t="inlineStr">
        <is>
          <t>As a limited user, look for a module your role should not have (e.g. Billing or People) in the menu and the bottom nav.</t>
        </is>
      </c>
      <c r="C34" s="22" t="inlineStr">
        <is>
          <t>It is not shown as an option anywhere in the app for that user.</t>
        </is>
      </c>
      <c r="D34" s="21" t="n"/>
      <c r="E34" s="22" t="inlineStr"/>
    </row>
  </sheetData>
  <mergeCells count="5">
    <mergeCell ref="B31:E31"/>
    <mergeCell ref="B23:E23"/>
    <mergeCell ref="B13:E13"/>
    <mergeCell ref="A1:E1"/>
    <mergeCell ref="B3:E3"/>
  </mergeCells>
  <dataValidations count="1">
    <dataValidation sqref="D4 D5 D6 D7 D8 D9 D10 D11 D12 D14 D15 D16 D17 D18 D19 D20 D21 D22 D24 D25 D26 D27 D28 D29 D30 D32 D33 D34" showDropDown="0" showInputMessage="0" showErrorMessage="0" allowBlank="1" type="list">
      <formula1>"Pass,Fail,Blocked,N/A,Not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People - Members, Teams &amp; Roles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MEMBERS LIST</t>
        </is>
      </c>
      <c r="C3" s="19" t="n"/>
      <c r="D3" s="19" t="n"/>
      <c r="E3" s="20" t="n"/>
    </row>
    <row r="4" ht="33" customHeight="1">
      <c r="A4" s="21" t="n">
        <v>1</v>
      </c>
      <c r="B4" s="22" t="inlineStr">
        <is>
          <t>Open the Members tab and pull to refresh.</t>
        </is>
      </c>
      <c r="C4" s="22" t="inlineStr">
        <is>
          <t>Everyone with access to the workspace loads (name, email, role, status).</t>
        </is>
      </c>
      <c r="D4" s="21" t="n"/>
      <c r="E4" s="22" t="inlineStr"/>
    </row>
    <row r="5" ht="28" customHeight="1">
      <c r="A5" s="21" t="n">
        <v>2</v>
      </c>
      <c r="B5" s="22" t="inlineStr">
        <is>
          <t>Search members by name, email or team.</t>
        </is>
      </c>
      <c r="C5" s="22" t="inlineStr">
        <is>
          <t>The list filters live as you type.</t>
        </is>
      </c>
      <c r="D5" s="21" t="n"/>
      <c r="E5" s="22" t="inlineStr"/>
    </row>
    <row r="6" ht="31" customHeight="1">
      <c r="A6" s="21" t="n">
        <v>3</v>
      </c>
      <c r="B6" s="22" t="inlineStr">
        <is>
          <t>Tap through the role tabs (All + each org role) above the list.</t>
        </is>
      </c>
      <c r="C6" s="22" t="inlineStr">
        <is>
          <t>The list narrows to that role and the tab's count is correct.</t>
        </is>
      </c>
      <c r="D6" s="21" t="n"/>
      <c r="E6" s="22" t="inlineStr"/>
    </row>
    <row r="7" ht="35" customHeight="1">
      <c r="A7" s="21" t="n">
        <v>4</v>
      </c>
      <c r="B7" s="22" t="inlineStr">
        <is>
          <t>Open the filter (slider) icon, set a filter and save it as a named view.</t>
        </is>
      </c>
      <c r="C7" s="22" t="inlineStr">
        <is>
          <t>The filter applies and the view appears as a chip you can re-apply or clear.</t>
        </is>
      </c>
      <c r="D7" s="21" t="n"/>
      <c r="E7" s="22" t="inlineStr"/>
    </row>
    <row r="8" ht="18" customHeight="1">
      <c r="A8" s="10" t="inlineStr"/>
      <c r="B8" s="18" t="inlineStr">
        <is>
          <t>B. INVITE &amp; EDIT A MEMBER</t>
        </is>
      </c>
      <c r="C8" s="19" t="n"/>
      <c r="D8" s="19" t="n"/>
      <c r="E8" s="20" t="n"/>
    </row>
    <row r="9" ht="37" customHeight="1">
      <c r="A9" s="21" t="n">
        <v>5</v>
      </c>
      <c r="B9" s="22" t="inlineStr">
        <is>
          <t>Tap Invite member, fill in a full name and a valid email, leave phone blank, and send.</t>
        </is>
      </c>
      <c r="C9" s="22" t="inlineStr">
        <is>
          <t>The invite is created and the member list refreshes to include them.</t>
        </is>
      </c>
      <c r="D9" s="21" t="n"/>
      <c r="E9" s="22" t="inlineStr"/>
    </row>
    <row r="10" ht="38" customHeight="1">
      <c r="A10" s="21" t="n">
        <v>6</v>
      </c>
      <c r="B10" s="22" t="inlineStr">
        <is>
          <t>On the invite sheet, type a half-finished phone number (e.g. 5 digits) and try to send.</t>
        </is>
      </c>
      <c r="C10" s="22" t="inlineStr">
        <is>
          <t>Blocked with 'Enter 10 digits'; a blank phone is still allowed.</t>
        </is>
      </c>
      <c r="D10" s="21" t="n"/>
      <c r="E10" s="22" t="inlineStr"/>
    </row>
    <row r="11" ht="49" customHeight="1">
      <c r="A11" s="21" t="n">
        <v>7</v>
      </c>
      <c r="B11" s="22" t="inlineStr">
        <is>
          <t>Invite a member and also pick a Team on the sheet before sending.</t>
        </is>
      </c>
      <c r="C11" s="22" t="inlineStr">
        <is>
          <t>The invite is sent, but a second toast explains the team could not be set from here and must be added from the team's own page.</t>
        </is>
      </c>
      <c r="D11" s="21" t="n"/>
      <c r="E11" s="22" t="inlineStr">
        <is>
          <t>Verified in invite_member_sheet.dart: the create-member call has no team field at all — the picked team is never sent.</t>
        </is>
      </c>
    </row>
    <row r="12" ht="37" customHeight="1">
      <c r="A12" s="21" t="n">
        <v>8</v>
      </c>
      <c r="B12" s="22" t="inlineStr">
        <is>
          <t>Open a member's detail screen.</t>
        </is>
      </c>
      <c r="C12" s="22" t="inlineStr">
        <is>
          <t>Profile, Member information, Performance &amp; records and Activity log cards all load.</t>
        </is>
      </c>
      <c r="D12" s="21" t="n"/>
      <c r="E12" s="22" t="inlineStr"/>
    </row>
    <row r="13" ht="36" customHeight="1">
      <c r="A13" s="21" t="n">
        <v>9</v>
      </c>
      <c r="B13" s="22" t="inlineStr">
        <is>
          <t>On that member's overflow menu, tap Edit member for a normal (non-admin) member.</t>
        </is>
      </c>
      <c r="C13" s="22" t="inlineStr">
        <is>
          <t>The Edit member sheet opens with their current details prefilled.</t>
        </is>
      </c>
      <c r="D13" s="21" t="n"/>
      <c r="E13" s="22" t="inlineStr"/>
    </row>
    <row r="14" ht="48" customHeight="1">
      <c r="A14" s="21" t="n">
        <v>10</v>
      </c>
      <c r="B14" s="22" t="inlineStr">
        <is>
          <t>Open a PROTECTED account (e.g. the account that first registered the company) and check the overflow menu.</t>
        </is>
      </c>
      <c r="C14" s="22" t="inlineStr">
        <is>
          <t>Edit member is disabled/greyed out with a 'This account is protected' note, rather than opening a form the server will reject.</t>
        </is>
      </c>
      <c r="D14" s="21" t="n"/>
      <c r="E14" s="22" t="inlineStr"/>
    </row>
    <row r="15" ht="40" customHeight="1">
      <c r="A15" s="21" t="n">
        <v>11</v>
      </c>
      <c r="B15" s="22" t="inlineStr">
        <is>
          <t>Edit a member's name, role and reporting manager, then save.</t>
        </is>
      </c>
      <c r="C15" s="22" t="inlineStr">
        <is>
          <t>Only the fields you actually changed are sent; the list and detail screen show the new values.</t>
        </is>
      </c>
      <c r="D15" s="21" t="n"/>
      <c r="E15" s="22" t="inlineStr"/>
    </row>
    <row r="16" ht="31" customHeight="1">
      <c r="A16" s="21" t="n">
        <v>12</v>
      </c>
      <c r="B16" s="22" t="inlineStr">
        <is>
          <t>Try to save an email address already used by a different member.</t>
        </is>
      </c>
      <c r="C16" s="22" t="inlineStr">
        <is>
          <t>Blocked with the server's duplicate-email message.</t>
        </is>
      </c>
      <c r="D16" s="21" t="n"/>
      <c r="E16" s="22" t="inlineStr"/>
    </row>
    <row r="17" ht="39" customHeight="1">
      <c r="A17" s="21" t="n">
        <v>13</v>
      </c>
      <c r="B17" s="22" t="inlineStr">
        <is>
          <t>On the Performance &amp; records card, switch the date-range chip.</t>
        </is>
      </c>
      <c r="C17" s="22" t="inlineStr">
        <is>
          <t>The owned-lead figures (open/closed/won/value/conversion rate) re-query for the chosen range.</t>
        </is>
      </c>
      <c r="D17" s="21" t="n"/>
      <c r="E17" s="22" t="inlineStr"/>
    </row>
    <row r="18" ht="77" customHeight="1">
      <c r="A18" s="21" t="n">
        <v>14</v>
      </c>
      <c r="B18" s="22" t="inlineStr">
        <is>
          <t>Scroll to the Availability card on a member's profile.</t>
        </is>
      </c>
      <c r="C18" s="22" t="inlineStr">
        <is>
          <t>The card is clearly captioned 'Attendance &amp; leave tracking is coming soon' over a blurred grid.</t>
        </is>
      </c>
      <c r="D18" s="21" t="n"/>
      <c r="E18" s="22" t="inlineStr">
        <is>
          <t>Verified in member_detail_screen.dart: the heatmap squares are generated from a hash of the member's email — not real attendance data — which is why the card is intentionally blurred and captioned rather than presented as live.</t>
        </is>
      </c>
    </row>
    <row r="19" ht="18" customHeight="1">
      <c r="A19" s="10" t="inlineStr"/>
      <c r="B19" s="18" t="inlineStr">
        <is>
          <t>C. TEAMS</t>
        </is>
      </c>
      <c r="C19" s="19" t="n"/>
      <c r="D19" s="19" t="n"/>
      <c r="E19" s="20" t="n"/>
    </row>
    <row r="20" ht="29" customHeight="1">
      <c r="A20" s="21" t="n">
        <v>15</v>
      </c>
      <c r="B20" s="22" t="inlineStr">
        <is>
          <t>Open the Teams tab.</t>
        </is>
      </c>
      <c r="C20" s="22" t="inlineStr">
        <is>
          <t>Groups of members load with member-count avatar stacks.</t>
        </is>
      </c>
      <c r="D20" s="21" t="n"/>
      <c r="E20" s="22" t="inlineStr"/>
    </row>
    <row r="21" ht="39" customHeight="1">
      <c r="A21" s="21" t="n">
        <v>16</v>
      </c>
      <c r="B21" s="22" t="inlineStr">
        <is>
          <t>Tap Create team, enter a unique name, optional region/function, a lead and starting members.</t>
        </is>
      </c>
      <c r="C21" s="22" t="inlineStr">
        <is>
          <t>The team is created and appears in the list.</t>
        </is>
      </c>
      <c r="D21" s="21" t="n"/>
      <c r="E21" s="22" t="inlineStr"/>
    </row>
    <row r="22" ht="28" customHeight="1">
      <c r="A22" s="21" t="n">
        <v>17</v>
      </c>
      <c r="B22" s="22" t="inlineStr">
        <is>
          <t>Try to create a second team with the exact same name.</t>
        </is>
      </c>
      <c r="C22" s="22" t="inlineStr">
        <is>
          <t>Blocked with a duplicate-name message.</t>
        </is>
      </c>
      <c r="D22" s="21" t="n"/>
      <c r="E22" s="22" t="inlineStr"/>
    </row>
    <row r="23" ht="45" customHeight="1">
      <c r="A23" s="21" t="n">
        <v>18</v>
      </c>
      <c r="B23" s="22" t="inlineStr">
        <is>
          <t>Open an existing team, tap Edit, change its roster and lead, and save.</t>
        </is>
      </c>
      <c r="C23" s="22" t="inlineStr">
        <is>
          <t>Only the changed fields are sent (name / description / lead / roster); the card's member count and avatars update.</t>
        </is>
      </c>
      <c r="D23" s="21" t="n"/>
      <c r="E23" s="22" t="inlineStr"/>
    </row>
    <row r="24" ht="44" customHeight="1">
      <c r="A24" s="21" t="n">
        <v>19</v>
      </c>
      <c r="B24" s="22" t="inlineStr">
        <is>
          <t>From a team card, tap Add and add one or more people not already on the team.</t>
        </is>
      </c>
      <c r="C24" s="22" t="inlineStr">
        <is>
          <t>The people are added and the roster refreshes, even if the picker only offers people not already on the team.</t>
        </is>
      </c>
      <c r="D24" s="21" t="n"/>
      <c r="E24" s="22" t="inlineStr"/>
    </row>
    <row r="25" ht="61" customHeight="1">
      <c r="A25" s="21" t="n">
        <v>20</v>
      </c>
      <c r="B25" s="22" t="inlineStr">
        <is>
          <t>Read the 'Teams are for grouping only' banner on the Teams screen and the 'Team lead is a designation only' hint on Create/Edit team.</t>
        </is>
      </c>
      <c r="C25" s="22" t="inlineStr">
        <is>
          <t>Both confirm a team and its lead carry no visibility/permission scope of their own on this app.</t>
        </is>
      </c>
      <c r="D25" s="21" t="n"/>
      <c r="E25" s="22" t="inlineStr">
        <is>
          <t>Confirmed by teams_screen.dart's own info banner and the create/edit team sheets — unlike the web app's Team-scope role visibility, a mobile team is a pure grouping label.</t>
        </is>
      </c>
    </row>
    <row r="26" ht="18" customHeight="1">
      <c r="A26" s="10" t="inlineStr"/>
      <c r="B26" s="18" t="inlineStr">
        <is>
          <t>D. ROLES &amp; PERMISSIONS</t>
        </is>
      </c>
      <c r="C26" s="19" t="n"/>
      <c r="D26" s="19" t="n"/>
      <c r="E26" s="20" t="n"/>
    </row>
    <row r="27" ht="46" customHeight="1">
      <c r="A27" s="21" t="n">
        <v>21</v>
      </c>
      <c r="B27" s="22" t="inlineStr">
        <is>
          <t>Open Roles &amp; permissions.</t>
        </is>
      </c>
      <c r="C27" s="22" t="inlineStr">
        <is>
          <t>The predefined roles (System Admin, Executive Leadership, Manager, Sales executive, Viewer) load, each marked locked.</t>
        </is>
      </c>
      <c r="D27" s="21" t="n"/>
      <c r="E27" s="22" t="inlineStr"/>
    </row>
    <row r="28" ht="42" customHeight="1">
      <c r="A28" s="21" t="n">
        <v>22</v>
      </c>
      <c r="B28" s="22" t="inlineStr">
        <is>
          <t>Tap a predefined (locked) role card.</t>
        </is>
      </c>
      <c r="C28" s="22" t="inlineStr">
        <is>
          <t>It opens read-only with Save greyed out — you can see its scope and capabilities but not change them.</t>
        </is>
      </c>
      <c r="D28" s="21" t="n"/>
      <c r="E28" s="22" t="inlineStr"/>
    </row>
    <row r="29" ht="90" customHeight="1">
      <c r="A29" s="21" t="n">
        <v>23</v>
      </c>
      <c r="B29" s="22" t="inlineStr">
        <is>
          <t>Tap Add role, name it, pick a Visibility scope chip and tick one or more Capability groups, then Create.</t>
        </is>
      </c>
      <c r="C29" s="22" t="inlineStr">
        <is>
          <t>A new custom role is created with EXACTLY the scope and capabilities you chose.</t>
        </is>
      </c>
      <c r="D29" s="21" t="n"/>
      <c r="E29" s="22" t="inlineStr">
        <is>
          <t>KNOWN ISSUE, verified in add_role_sheet.dart: neither the chosen scope chip nor the ticked capability groups are sent in the create/update call — every custom role is currently created with a fixed CRM-at-hierarchy scope regardless of what the sheet shows selected. Mark this row FAIL and note the mismatch between what the sheet displays and what is actually saved.</t>
        </is>
      </c>
    </row>
    <row r="30" ht="33" customHeight="1">
      <c r="A30" s="21" t="n">
        <v>24</v>
      </c>
      <c r="B30" s="22" t="inlineStr">
        <is>
          <t>Try to delete a role that still has members assigned to it.</t>
        </is>
      </c>
      <c r="C30" s="22" t="inlineStr">
        <is>
          <t>Blocked with a message naming how many members must be reassigned first.</t>
        </is>
      </c>
      <c r="D30" s="21" t="n"/>
      <c r="E30" s="22" t="inlineStr"/>
    </row>
    <row r="31" ht="28" customHeight="1">
      <c r="A31" s="21" t="n">
        <v>25</v>
      </c>
      <c r="B31" s="22" t="inlineStr">
        <is>
          <t>Delete an unused custom role.</t>
        </is>
      </c>
      <c r="C31" s="22" t="inlineStr">
        <is>
          <t>It is removed from the list.</t>
        </is>
      </c>
      <c r="D31" s="21" t="n"/>
      <c r="E31" s="22" t="inlineStr"/>
    </row>
  </sheetData>
  <mergeCells count="5">
    <mergeCell ref="B26:E26"/>
    <mergeCell ref="B8:E8"/>
    <mergeCell ref="A1:E1"/>
    <mergeCell ref="B3:E3"/>
    <mergeCell ref="B19:E19"/>
  </mergeCells>
  <dataValidations count="1">
    <dataValidation sqref="D4 D5 D6 D7 D9 D10 D11 D12 D13 D14 D15 D16 D17 D18 D20 D21 D22 D23 D24 D25 D27 D28 D29 D30 D31" showDropDown="0" showInputMessage="0" showErrorMessage="0" allowBlank="1" type="list">
      <formula1>"Pass,Fail,Blocked,N/A,Not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CRM - Leads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LEAD LIST &amp; PIPELINE</t>
        </is>
      </c>
      <c r="C3" s="19" t="n"/>
      <c r="D3" s="19" t="n"/>
      <c r="E3" s="20" t="n"/>
    </row>
    <row r="4" ht="37" customHeight="1">
      <c r="A4" s="21" t="n">
        <v>1</v>
      </c>
      <c r="B4" s="22" t="inlineStr">
        <is>
          <t>Open the Leads tab.</t>
        </is>
      </c>
      <c r="C4" s="22" t="inlineStr">
        <is>
          <t>The list loads with stage tabs (e.g. New, Qualified, Won) each showing its own count.</t>
        </is>
      </c>
      <c r="D4" s="21" t="n"/>
      <c r="E4" s="22" t="inlineStr"/>
    </row>
    <row r="5" ht="28" customHeight="1">
      <c r="A5" s="21" t="n">
        <v>2</v>
      </c>
      <c r="B5" s="22" t="inlineStr">
        <is>
          <t>Tap a stage tab.</t>
        </is>
      </c>
      <c r="C5" s="22" t="inlineStr">
        <is>
          <t>The list filters to leads in that stage only.</t>
        </is>
      </c>
      <c r="D5" s="21" t="n"/>
      <c r="E5" s="22" t="inlineStr"/>
    </row>
    <row r="6" ht="34" customHeight="1">
      <c r="A6" s="21" t="n">
        <v>3</v>
      </c>
      <c r="B6" s="22" t="inlineStr">
        <is>
          <t>Pull down on the list to refresh.</t>
        </is>
      </c>
      <c r="C6" s="22" t="inlineStr">
        <is>
          <t>The leads, stage counts and filter option lists all reload from the server.</t>
        </is>
      </c>
      <c r="D6" s="21" t="n"/>
      <c r="E6" s="22" t="inlineStr"/>
    </row>
    <row r="7" ht="39" customHeight="1">
      <c r="A7" s="21" t="n">
        <v>4</v>
      </c>
      <c r="B7" s="22" t="inlineStr">
        <is>
          <t>Tap the search icon and type part of a name, company or product.</t>
        </is>
      </c>
      <c r="C7" s="22" t="inlineStr">
        <is>
          <t>The list narrows to matching leads as you type; clearing the search restores the full list.</t>
        </is>
      </c>
      <c r="D7" s="21" t="n"/>
      <c r="E7" s="22" t="inlineStr"/>
    </row>
    <row r="8" ht="39" customHeight="1">
      <c r="A8" s="21" t="n">
        <v>5</v>
      </c>
      <c r="B8" s="22" t="inlineStr">
        <is>
          <t>Toggle the 'My leads' / 'All leads' chip.</t>
        </is>
      </c>
      <c r="C8" s="22" t="inlineStr">
        <is>
          <t>The list switches between leads you own or are assigned and every lead you're allowed to see.</t>
        </is>
      </c>
      <c r="D8" s="21" t="n"/>
      <c r="E8" s="22" t="inlineStr"/>
    </row>
    <row r="9" ht="42" customHeight="1">
      <c r="A9" s="21" t="n">
        <v>6</v>
      </c>
      <c r="B9" s="22" t="inlineStr">
        <is>
          <t>Search or filter down to zero results.</t>
        </is>
      </c>
      <c r="C9" s="22" t="inlineStr">
        <is>
          <t>A friendly 'No leads found' message appears with an Add lead button — never a blank or broken screen.</t>
        </is>
      </c>
      <c r="D9" s="21" t="n"/>
      <c r="E9" s="22" t="inlineStr"/>
    </row>
    <row r="10" ht="18" customHeight="1">
      <c r="A10" s="10" t="inlineStr"/>
      <c r="B10" s="18" t="inlineStr">
        <is>
          <t>B. ADD &amp; EDIT A LEAD</t>
        </is>
      </c>
      <c r="C10" s="19" t="n"/>
      <c r="D10" s="19" t="n"/>
      <c r="E10" s="20" t="n"/>
    </row>
    <row r="11" ht="62" customHeight="1">
      <c r="A11" s="21" t="n">
        <v>7</v>
      </c>
      <c r="B11" s="22" t="inlineStr">
        <is>
          <t>Tap + to add a lead, leave Name and Phone blank, and tap Add lead.</t>
        </is>
      </c>
      <c r="C11" s="22" t="inlineStr">
        <is>
          <t>Blocked with a message to complete the required fields; name is marked required and the phone box shows 'Enter 10 digits'.</t>
        </is>
      </c>
      <c r="D11" s="21" t="n"/>
      <c r="E11" s="22" t="inlineStr">
        <is>
          <t>Applies to the built-in form. When the company has its own configured lead fields, required-field checking is done by the server and a field-specific error comes back instead.</t>
        </is>
      </c>
    </row>
    <row r="12" ht="36" customHeight="1">
      <c r="A12" s="21" t="n">
        <v>8</v>
      </c>
      <c r="B12" s="22" t="inlineStr">
        <is>
          <t>Enter a phone number with fewer than 10 digits.</t>
        </is>
      </c>
      <c r="C12" s="22" t="inlineStr">
        <is>
          <t>Blocked — the phone box shows 'Enter 10 digits' until a complete number is typed.</t>
        </is>
      </c>
      <c r="D12" s="21" t="n"/>
      <c r="E12" s="22" t="inlineStr"/>
    </row>
    <row r="13" ht="36" customHeight="1">
      <c r="A13" s="21" t="n">
        <v>9</v>
      </c>
      <c r="B13" s="22" t="inlineStr">
        <is>
          <t>Fill in name, phone and product/need (plus any optional fields) and tap Add lead.</t>
        </is>
      </c>
      <c r="C13" s="22" t="inlineStr">
        <is>
          <t>The lead saves and appears in the leads list.</t>
        </is>
      </c>
      <c r="D13" s="21" t="n"/>
      <c r="E13" s="22" t="inlineStr"/>
    </row>
    <row r="14" ht="31" customHeight="1">
      <c r="A14" s="21" t="n">
        <v>10</v>
      </c>
      <c r="B14" s="22" t="inlineStr">
        <is>
          <t>Open an existing lead, use the overflow menu's 'Edit lead'.</t>
        </is>
      </c>
      <c r="C14" s="22" t="inlineStr">
        <is>
          <t>The same form opens, prefilled with the lead's current details.</t>
        </is>
      </c>
      <c r="D14" s="21" t="n"/>
      <c r="E14" s="22" t="inlineStr"/>
    </row>
    <row r="15" ht="32" customHeight="1">
      <c r="A15" s="21" t="n">
        <v>11</v>
      </c>
      <c r="B15" s="22" t="inlineStr">
        <is>
          <t>Change a field on the edit form and tap Save changes.</t>
        </is>
      </c>
      <c r="C15" s="22" t="inlineStr">
        <is>
          <t>The update saves and shows immediately on the lead's detail screen.</t>
        </is>
      </c>
      <c r="D15" s="21" t="n"/>
      <c r="E15" s="22" t="inlineStr"/>
    </row>
    <row r="16" ht="43" customHeight="1">
      <c r="A16" s="21" t="n">
        <v>12</v>
      </c>
      <c r="B16" s="22" t="inlineStr">
        <is>
          <t>On a lead already marked Won, try Edit lead from the menu or the sticky-bar pencil.</t>
        </is>
      </c>
      <c r="C16" s="22" t="inlineStr">
        <is>
          <t>Edit is disabled/blocked with a message that the lead has converted and to edit the customer record instead.</t>
        </is>
      </c>
      <c r="D16" s="21" t="n"/>
      <c r="E16" s="22" t="inlineStr"/>
    </row>
    <row r="17" ht="45" customHeight="1">
      <c r="A17" s="21" t="n">
        <v>13</v>
      </c>
      <c r="B17" s="22" t="inlineStr">
        <is>
          <t>On the lead's Information card, long-press an editable field.</t>
        </is>
      </c>
      <c r="C17" s="22" t="inlineStr">
        <is>
          <t>An inline edit box opens for just that field, and saving it updates the lead without opening the full edit form.</t>
        </is>
      </c>
      <c r="D17" s="21" t="n"/>
      <c r="E17" s="22" t="inlineStr"/>
    </row>
    <row r="18" ht="31" customHeight="1">
      <c r="A18" s="21" t="n">
        <v>14</v>
      </c>
      <c r="B18" s="22" t="inlineStr">
        <is>
          <t>Long-press a read-only field such as Created on or Lead score.</t>
        </is>
      </c>
      <c r="C18" s="22" t="inlineStr">
        <is>
          <t>Nothing happens — the field is not editable inline.</t>
        </is>
      </c>
      <c r="D18" s="21" t="n"/>
      <c r="E18" s="22" t="inlineStr"/>
    </row>
    <row r="19" ht="18" customHeight="1">
      <c r="A19" s="10" t="inlineStr"/>
      <c r="B19" s="18" t="inlineStr">
        <is>
          <t>C. ORG-CONFIGURED FIELDS (CUSTOM SCHEMA)</t>
        </is>
      </c>
      <c r="C19" s="19" t="n"/>
      <c r="D19" s="19" t="n"/>
      <c r="E19" s="20" t="n"/>
    </row>
    <row r="20" ht="51" customHeight="1">
      <c r="A20" s="21" t="n">
        <v>15</v>
      </c>
      <c r="B20" s="22" t="inlineStr">
        <is>
          <t>With the company's own lead field layout configured, open Add lead.</t>
        </is>
      </c>
      <c r="C20" s="22" t="inlineStr">
        <is>
          <t>The form shows exactly the org's own fields, in the org's order and labels, in place of the built-in Contact/Deal/Qualification groups.</t>
        </is>
      </c>
      <c r="D20" s="21" t="n"/>
      <c r="E20" s="22" t="inlineStr"/>
    </row>
    <row r="21" ht="41" customHeight="1">
      <c r="A21" s="21" t="n">
        <v>16</v>
      </c>
      <c r="B21" s="22" t="inlineStr">
        <is>
          <t>Open an existing lead's Information card under the same configured layout.</t>
        </is>
      </c>
      <c r="C21" s="22" t="inlineStr">
        <is>
          <t>The fields and their order match the org's configured detail layout rather than the built-in list.</t>
        </is>
      </c>
      <c r="D21" s="21" t="n"/>
      <c r="E21" s="22" t="inlineStr"/>
    </row>
    <row r="22" ht="39" customHeight="1">
      <c r="A22" s="21" t="n">
        <v>17</v>
      </c>
      <c r="B22" s="22" t="inlineStr">
        <is>
          <t>As admin, remove a custom field the app previously showed, then reopen a lead that used it.</t>
        </is>
      </c>
      <c r="C22" s="22" t="inlineStr">
        <is>
          <t>The removed field's row is no longer shown; nothing breaks or shows a stale value.</t>
        </is>
      </c>
      <c r="D22" s="21" t="n"/>
      <c r="E22" s="22" t="inlineStr"/>
    </row>
    <row r="23" ht="18" customHeight="1">
      <c r="A23" s="10" t="inlineStr"/>
      <c r="B23" s="18" t="inlineStr">
        <is>
          <t>D. LEAD SCORE (VIEW ONLY)</t>
        </is>
      </c>
      <c r="C23" s="19" t="n"/>
      <c r="D23" s="19" t="n"/>
      <c r="E23" s="20" t="n"/>
    </row>
    <row r="24" ht="42" customHeight="1">
      <c r="A24" s="21" t="n">
        <v>18</v>
      </c>
      <c r="B24" s="22" t="inlineStr">
        <is>
          <t>Open a lead's detail screen.</t>
        </is>
      </c>
      <c r="C24" s="22" t="inlineStr">
        <is>
          <t>A Lead score card shows a 0-100 number, a coloured progress bar, and an 'AI summary' area marked SOON.</t>
        </is>
      </c>
      <c r="D24" s="21" t="n"/>
      <c r="E24" s="22" t="inlineStr"/>
    </row>
    <row r="25" ht="68" customHeight="1">
      <c r="A25" s="21" t="n">
        <v>19</v>
      </c>
      <c r="B25" s="22" t="inlineStr">
        <is>
          <t>Tap the info icon beside 'Lead score'.</t>
        </is>
      </c>
      <c r="C25" s="22" t="inlineStr">
        <is>
          <t>A short explanation expands/collapses under the score.</t>
        </is>
      </c>
      <c r="D25" s="21" t="n"/>
      <c r="E25" s="22" t="inlineStr">
        <is>
          <t>Mobile shows only the overall number and this generic note — there is no breakdown by recency, interactions, deal value etc. like the web app, and no 'recalculate score' action anywhere in the app.</t>
        </is>
      </c>
    </row>
    <row r="26" ht="31" customHeight="1">
      <c r="A26" s="21" t="n">
        <v>20</v>
      </c>
      <c r="B26" s="22" t="inlineStr">
        <is>
          <t>In the filter drawer, filter leads by score (Hot / Warm / Cold).</t>
        </is>
      </c>
      <c r="C26" s="22" t="inlineStr">
        <is>
          <t>The list narrows to leads whose score falls in the chosen band.</t>
        </is>
      </c>
      <c r="D26" s="21" t="n"/>
      <c r="E26" s="22" t="inlineStr"/>
    </row>
    <row r="27" ht="18" customHeight="1">
      <c r="A27" s="10" t="inlineStr"/>
      <c r="B27" s="18" t="inlineStr">
        <is>
          <t>E. FILTERS &amp; SAVED VIEWS</t>
        </is>
      </c>
      <c r="C27" s="19" t="n"/>
      <c r="D27" s="19" t="n"/>
      <c r="E27" s="20" t="n"/>
    </row>
    <row r="28" ht="49" customHeight="1">
      <c r="A28" s="21" t="n">
        <v>21</v>
      </c>
      <c r="B28" s="22" t="inlineStr">
        <is>
          <t>Open the filter drawer and set a mix of Source, Product, Stage, Aging-in-stage, Owner, Team, Created-date and Deal-value filters.</t>
        </is>
      </c>
      <c r="C28" s="22" t="inlineStr">
        <is>
          <t>A live 'matching' preview count updates as each filter changes.</t>
        </is>
      </c>
      <c r="D28" s="21" t="n"/>
      <c r="E28" s="22" t="inlineStr"/>
    </row>
    <row r="29" ht="43" customHeight="1">
      <c r="A29" s="21" t="n">
        <v>22</v>
      </c>
      <c r="B29" s="22" t="inlineStr">
        <is>
          <t>Tap Apply.</t>
        </is>
      </c>
      <c r="C29" s="22" t="inlineStr">
        <is>
          <t>The list re-fetches with those filters, and a badge on the filter icon shows how many filters are active.</t>
        </is>
      </c>
      <c r="D29" s="21" t="n"/>
      <c r="E29" s="22" t="inlineStr"/>
    </row>
    <row r="30" ht="37" customHeight="1">
      <c r="A30" s="21" t="n">
        <v>23</v>
      </c>
      <c r="B30" s="22" t="inlineStr">
        <is>
          <t>Save the current filters as a named view.</t>
        </is>
      </c>
      <c r="C30" s="22" t="inlineStr">
        <is>
          <t>It appears as a tappable chip above the list that reapplies the same filters later.</t>
        </is>
      </c>
      <c r="D30" s="21" t="n"/>
      <c r="E30" s="22" t="inlineStr"/>
    </row>
    <row r="31" ht="39" customHeight="1">
      <c r="A31" s="21" t="n">
        <v>24</v>
      </c>
      <c r="B31" s="22" t="inlineStr">
        <is>
          <t>Try to save a view with a name that already exists, or beyond the company's saved-view limit.</t>
        </is>
      </c>
      <c r="C31" s="22" t="inlineStr">
        <is>
          <t>Blocked with the server's own message (duplicate name, or limit reached).</t>
        </is>
      </c>
      <c r="D31" s="21" t="n"/>
      <c r="E31" s="22" t="inlineStr"/>
    </row>
    <row r="32" ht="33" customHeight="1">
      <c r="A32" s="21" t="n">
        <v>25</v>
      </c>
      <c r="B32" s="22" t="inlineStr">
        <is>
          <t>Tap an already-active saved-view chip a second time.</t>
        </is>
      </c>
      <c r="C32" s="22" t="inlineStr">
        <is>
          <t>The view deactivates and the filters clear back to the unfiltered list.</t>
        </is>
      </c>
      <c r="D32" s="21" t="n"/>
      <c r="E32" s="22" t="inlineStr"/>
    </row>
    <row r="33" ht="42" customHeight="1">
      <c r="A33" s="21" t="n">
        <v>26</v>
      </c>
      <c r="B33" s="22" t="inlineStr">
        <is>
          <t>Open a saved view that points at a custom field the org has since deleted.</t>
        </is>
      </c>
      <c r="C33" s="22" t="inlineStr">
        <is>
          <t>The chip is shown as invalid/needing attention and refuses to run, rather than silently filtering wrong.</t>
        </is>
      </c>
      <c r="D33" s="21" t="n"/>
      <c r="E33" s="22" t="inlineStr"/>
    </row>
    <row r="34" ht="33" customHeight="1">
      <c r="A34" s="21" t="n">
        <v>27</v>
      </c>
      <c r="B34" s="22" t="inlineStr">
        <is>
          <t>Log out and log in as a different user, then check the saved-view chips.</t>
        </is>
      </c>
      <c r="C34" s="22" t="inlineStr">
        <is>
          <t>You see that user's own saved views, not the previous user's.</t>
        </is>
      </c>
      <c r="D34" s="21" t="n"/>
      <c r="E34" s="22" t="inlineStr"/>
    </row>
    <row r="35" ht="18" customHeight="1">
      <c r="A35" s="10" t="inlineStr"/>
      <c r="B35" s="18" t="inlineStr">
        <is>
          <t>F. CALLING &amp; WHATSAPP FROM A LEAD</t>
        </is>
      </c>
      <c r="C35" s="19" t="n"/>
      <c r="D35" s="19" t="n"/>
      <c r="E35" s="20" t="n"/>
    </row>
    <row r="36" ht="53" customHeight="1">
      <c r="A36" s="21" t="n">
        <v>28</v>
      </c>
      <c r="B36" s="22" t="inlineStr">
        <is>
          <t>From a lead card or its detail screen, tap Call.</t>
        </is>
      </c>
      <c r="C36" s="22" t="inlineStr">
        <is>
          <t>The device dialler (or the in-app calling flow, where telephony is connected) opens, and the call appears afterwards in the lead's Call log tab.</t>
        </is>
      </c>
      <c r="D36" s="21" t="n"/>
      <c r="E36" s="22" t="inlineStr"/>
    </row>
    <row r="37" ht="45" customHeight="1">
      <c r="A37" s="21" t="n">
        <v>29</v>
      </c>
      <c r="B37" s="22" t="inlineStr">
        <is>
          <t>From the lead's overflow menu, tap 'WhatsApp chat' on a lead that already has a WhatsApp conversation in the app.</t>
        </is>
      </c>
      <c r="C37" s="22" t="inlineStr">
        <is>
          <t>The in-app chat screen opens directly on that existing thread.</t>
        </is>
      </c>
      <c r="D37" s="21" t="n"/>
      <c r="E37" s="22" t="inlineStr"/>
    </row>
    <row r="38" ht="53" customHeight="1">
      <c r="A38" s="21" t="n">
        <v>30</v>
      </c>
      <c r="B38" s="22" t="inlineStr">
        <is>
          <t>Tap 'WhatsApp chat' on a lead with a phone number but no existing conversation yet.</t>
        </is>
      </c>
      <c r="C38" s="22" t="inlineStr">
        <is>
          <t>The number is handed off to the WhatsApp app, pre-addressed, since a first outbound WhatsApp message cannot be started from inside this screen.</t>
        </is>
      </c>
      <c r="D38" s="21" t="n"/>
      <c r="E38" s="22" t="inlineStr"/>
    </row>
    <row r="39" ht="37" customHeight="1">
      <c r="A39" s="21" t="n">
        <v>31</v>
      </c>
      <c r="B39" s="22" t="inlineStr">
        <is>
          <t>Tap 'WhatsApp chat' on a lead with no phone number saved.</t>
        </is>
      </c>
      <c r="C39" s="22" t="inlineStr">
        <is>
          <t>A clear message says there is no number to message — nothing crashes or opens blank.</t>
        </is>
      </c>
      <c r="D39" s="21" t="n"/>
      <c r="E39" s="22" t="inlineStr"/>
    </row>
    <row r="40" ht="52" customHeight="1">
      <c r="A40" s="21" t="n">
        <v>32</v>
      </c>
      <c r="B40" s="22" t="inlineStr">
        <is>
          <t>Turn off the connection (airplane mode) and tap 'WhatsApp chat'.</t>
        </is>
      </c>
      <c r="C40" s="22" t="inlineStr">
        <is>
          <t>The app still lets you try WhatsApp on the number, with a note that it couldn't check for an existing chat, rather than failing silently.</t>
        </is>
      </c>
      <c r="D40" s="21" t="n"/>
      <c r="E40" s="22" t="inlineStr"/>
    </row>
    <row r="41" ht="18" customHeight="1">
      <c r="A41" s="10" t="inlineStr"/>
      <c r="B41" s="18" t="inlineStr">
        <is>
          <t>G. ACTIVITY LOG &amp; CONVERSION</t>
        </is>
      </c>
      <c r="C41" s="19" t="n"/>
      <c r="D41" s="19" t="n"/>
      <c r="E41" s="20" t="n"/>
    </row>
    <row r="42" ht="39" customHeight="1">
      <c r="A42" s="21" t="n">
        <v>33</v>
      </c>
      <c r="B42" s="22" t="inlineStr">
        <is>
          <t>Open a lead's Activity/Timeline tab after editing it, changing its stage, and logging a call.</t>
        </is>
      </c>
      <c r="C42" s="22" t="inlineStr">
        <is>
          <t>Each action appears in the timeline with who did it and when.</t>
        </is>
      </c>
      <c r="D42" s="21" t="n"/>
      <c r="E42" s="22" t="inlineStr"/>
    </row>
    <row r="43" ht="37" customHeight="1">
      <c r="A43" s="21" t="n">
        <v>34</v>
      </c>
      <c r="B43" s="22" t="inlineStr">
        <is>
          <t>Simply open and view a lead without changing anything, then check its Activity tab.</t>
        </is>
      </c>
      <c r="C43" s="22" t="inlineStr">
        <is>
          <t>No new entry is added for just viewing — only real changes are logged.</t>
        </is>
      </c>
      <c r="D43" s="21" t="n"/>
      <c r="E43" s="22" t="inlineStr"/>
    </row>
    <row r="44" ht="86" customHeight="1">
      <c r="A44" s="21" t="n">
        <v>35</v>
      </c>
      <c r="B44" s="22" t="inlineStr">
        <is>
          <t>Tap 'Convert to customer' on an open lead.</t>
        </is>
      </c>
      <c r="C44" s="22" t="inlineStr">
        <is>
          <t>Note: on mobile this currently only shows a 'Converting to customer…' toast — it does not run a real conversion, duplicate check, or manager-approval step. Confirm whether this is expected before release; the full conversion/approval flow lives on the web app.</t>
        </is>
      </c>
      <c r="D44" s="21" t="n"/>
      <c r="E44" s="22" t="inlineStr">
        <is>
          <t>Gap vs. the web checklist's multi-step approval chain — verified in code (lead_detail_screen.dart), not assumed.</t>
        </is>
      </c>
    </row>
    <row r="45" ht="18" customHeight="1">
      <c r="A45" s="10" t="inlineStr"/>
      <c r="B45" s="18" t="inlineStr">
        <is>
          <t>H. NOT AVAILABLE ON MOBILE</t>
        </is>
      </c>
      <c r="C45" s="19" t="n"/>
      <c r="D45" s="19" t="n"/>
      <c r="E45" s="20" t="n"/>
    </row>
    <row r="46" ht="80" customHeight="1">
      <c r="A46" s="21" t="n">
        <v>36</v>
      </c>
      <c r="B46" s="22" t="inlineStr">
        <is>
          <t>Look for lead duplicate detection, hierarchical territory management (create/move zones), a full lead-score breakdown, and 'unsubscribed'/'do-not-disturb' flags blocking outbound messages.</t>
        </is>
      </c>
      <c r="C46" s="22" t="inlineStr">
        <is>
          <t>None of these exist in the mobile app today — territory shows only as a read-only value where configured, and score shows only the overall number. Test these on the web app instead; do not mark this row Fail, it documents a scope difference.</t>
        </is>
      </c>
      <c r="D46" s="21" t="n"/>
      <c r="E46" s="22" t="inlineStr">
        <is>
          <t>Confirmed by code search — no UI, entity fields, or providers for duplicate detection, territory CRUD, score breakdown, or DND/unsubscribe flags anywhere in lib/features/crm.</t>
        </is>
      </c>
    </row>
  </sheetData>
  <mergeCells count="9">
    <mergeCell ref="B45:E45"/>
    <mergeCell ref="B23:E23"/>
    <mergeCell ref="B27:E27"/>
    <mergeCell ref="B41:E41"/>
    <mergeCell ref="B35:E35"/>
    <mergeCell ref="A1:E1"/>
    <mergeCell ref="B3:E3"/>
    <mergeCell ref="B19:E19"/>
    <mergeCell ref="B10:E10"/>
  </mergeCells>
  <dataValidations count="1">
    <dataValidation sqref="D4 D5 D6 D7 D8 D9 D11 D12 D13 D14 D15 D16 D17 D18 D20 D21 D22 D24 D25 D26 D28 D29 D30 D31 D32 D33 D34 D36 D37 D38 D39 D40 D42 D43 D44 D46" showDropDown="0" showInputMessage="0" showErrorMessage="0" allowBlank="1" type="list">
      <formula1>"Pass,Fail,Blocked,N/A,Not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CRM - Customers, Contacts &amp; Products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CUSTOMERS LIST</t>
        </is>
      </c>
      <c r="C3" s="19" t="n"/>
      <c r="D3" s="19" t="n"/>
      <c r="E3" s="20" t="n"/>
    </row>
    <row r="4" ht="50" customHeight="1">
      <c r="A4" s="21" t="n">
        <v>1</v>
      </c>
      <c r="B4" s="22" t="inlineStr">
        <is>
          <t>Open Customers from the CRM tab.</t>
        </is>
      </c>
      <c r="C4" s="22" t="inlineStr">
        <is>
          <t>The list loads with customer cards (name, company, deal value, status pill, last activity). A loading skeleton shows briefly first.</t>
        </is>
      </c>
      <c r="D4" s="21" t="n"/>
      <c r="E4" s="22" t="inlineStr"/>
    </row>
    <row r="5" ht="35" customHeight="1">
      <c r="A5" s="21" t="n">
        <v>2</v>
      </c>
      <c r="B5" s="22" t="inlineStr">
        <is>
          <t>Pull down on the Customers list to refresh.</t>
        </is>
      </c>
      <c r="C5" s="22" t="inlineStr">
        <is>
          <t>The list, its filter catalog and any open detail screen re-fetch and update.</t>
        </is>
      </c>
      <c r="D5" s="21" t="n"/>
      <c r="E5" s="22" t="inlineStr"/>
    </row>
    <row r="6" ht="46" customHeight="1">
      <c r="A6" s="21" t="n">
        <v>3</v>
      </c>
      <c r="B6" s="22" t="inlineStr">
        <is>
          <t>Search customers by name and filter by status, source, account manager, company and product using the filter drawer.</t>
        </is>
      </c>
      <c r="C6" s="22" t="inlineStr">
        <is>
          <t>The list narrows to matching customers; a filter badge shows how many are applied.</t>
        </is>
      </c>
      <c r="D6" s="21" t="n"/>
      <c r="E6" s="22" t="inlineStr"/>
    </row>
    <row r="7" ht="34" customHeight="1">
      <c r="A7" s="21" t="n">
        <v>4</v>
      </c>
      <c r="B7" s="22" t="inlineStr">
        <is>
          <t>Save the current filter combination as a view, then apply it again later.</t>
        </is>
      </c>
      <c r="C7" s="22" t="inlineStr">
        <is>
          <t>The saved view is stored on the server and re-applies the same conditions.</t>
        </is>
      </c>
      <c r="D7" s="21" t="n"/>
      <c r="E7" s="22" t="inlineStr">
        <is>
          <t>Saved views are per-user, same as Leads.</t>
        </is>
      </c>
    </row>
    <row r="8" ht="32" customHeight="1">
      <c r="A8" s="21" t="n">
        <v>5</v>
      </c>
      <c r="B8" s="22" t="inlineStr">
        <is>
          <t>Open a customer with no logo/extra data (a sparse record).</t>
        </is>
      </c>
      <c r="C8" s="22" t="inlineStr">
        <is>
          <t>Missing fields show a clean placeholder (dash), not a blank crash.</t>
        </is>
      </c>
      <c r="D8" s="21" t="n"/>
      <c r="E8" s="22" t="inlineStr"/>
    </row>
    <row r="9" ht="42" customHeight="1">
      <c r="A9" s="21" t="n">
        <v>6</v>
      </c>
      <c r="B9" s="22" t="inlineStr">
        <is>
          <t>Look for a way to bulk-select several customers and bulk change their status or owner.</t>
        </is>
      </c>
      <c r="C9" s="22" t="inlineStr">
        <is>
          <t>n/a</t>
        </is>
      </c>
      <c r="D9" s="21" t="n"/>
      <c r="E9" s="22" t="inlineStr">
        <is>
          <t>NOT AVAILABLE — no bulk select/action exists on the mobile Customers list (web-only feature); mark N/A.</t>
        </is>
      </c>
    </row>
    <row r="10" ht="18" customHeight="1">
      <c r="A10" s="10" t="inlineStr"/>
      <c r="B10" s="18" t="inlineStr">
        <is>
          <t>B. CREATE A CUSTOMER</t>
        </is>
      </c>
      <c r="C10" s="19" t="n"/>
      <c r="D10" s="19" t="n"/>
      <c r="E10" s="20" t="n"/>
    </row>
    <row r="11" ht="50" customHeight="1">
      <c r="A11" s="21" t="n">
        <v>7</v>
      </c>
      <c r="B11" s="22" t="inlineStr">
        <is>
          <t>Tap + to add a new customer and fill in name only, then save.</t>
        </is>
      </c>
      <c r="C11" s="22" t="inlineStr">
        <is>
          <t>Blocked with 'Enter a customer name' until a name is typed; once filled, the customer is created and appears at the top of the list.</t>
        </is>
      </c>
      <c r="D11" s="21" t="n"/>
      <c r="E11" s="22" t="inlineStr"/>
    </row>
    <row r="12" ht="45" customHeight="1">
      <c r="A12" s="21" t="n">
        <v>8</v>
      </c>
      <c r="B12" s="22" t="inlineStr">
        <is>
          <t>Fill in company, mobile, email and deal value on a workspace with no custom customer layout configured, then save.</t>
        </is>
      </c>
      <c r="C12" s="22" t="inlineStr">
        <is>
          <t>The customer saves with those details; deal value shows as ₹ on the list.</t>
        </is>
      </c>
      <c r="D12" s="21" t="n"/>
      <c r="E12" s="22" t="inlineStr">
        <is>
          <t>This 6-field built-in form only appears when the org has no configured Customer layout.</t>
        </is>
      </c>
    </row>
    <row r="13" ht="42" customHeight="1">
      <c r="A13" s="21" t="n">
        <v>9</v>
      </c>
      <c r="B13" s="22" t="inlineStr">
        <is>
          <t>On a workspace WITH a configured Customer layout, open Add customer.</t>
        </is>
      </c>
      <c r="C13" s="22" t="inlineStr">
        <is>
          <t>The sheet renders the org's own fields, in the org's order and labels, instead of the built-in 6 fields.</t>
        </is>
      </c>
      <c r="D13" s="21" t="n"/>
      <c r="E13" s="22" t="inlineStr"/>
    </row>
    <row r="14" ht="37" customHeight="1">
      <c r="A14" s="21" t="n">
        <v>10</v>
      </c>
      <c r="B14" s="22" t="inlineStr">
        <is>
          <t>On the schema-driven form, set the customer Status from the picker and save.</t>
        </is>
      </c>
      <c r="C14" s="22" t="inlineStr">
        <is>
          <t>The status is saved correctly (the app translates it to the right field internally).</t>
        </is>
      </c>
      <c r="D14" s="21" t="n"/>
      <c r="E14" s="22" t="inlineStr"/>
    </row>
    <row r="15" ht="47" customHeight="1">
      <c r="A15" s="21" t="n">
        <v>11</v>
      </c>
      <c r="B15" s="22" t="inlineStr">
        <is>
          <t>On the schema-driven form, attach a Product to the new customer.</t>
        </is>
      </c>
      <c r="C15" s="22" t="inlineStr">
        <is>
          <t>The product is saved against the customer with a default quantity.</t>
        </is>
      </c>
      <c r="D15" s="21" t="n"/>
      <c r="E15" s="22" t="inlineStr">
        <is>
          <t>No per-product quantity input on this form — quantity is fixed at 1; adjust via a quote if a different quantity is needed.</t>
        </is>
      </c>
    </row>
    <row r="16" ht="41" customHeight="1">
      <c r="A16" s="21" t="n">
        <v>12</v>
      </c>
      <c r="B16" s="22" t="inlineStr">
        <is>
          <t>Try creating two customers with the exact same name/company in quick succession (double-tap Create).</t>
        </is>
      </c>
      <c r="C16" s="22" t="inlineStr">
        <is>
          <t>Only one customer is created — the button disables itself while the request is in flight.</t>
        </is>
      </c>
      <c r="D16" s="21" t="n"/>
      <c r="E16" s="22" t="inlineStr"/>
    </row>
    <row r="17" ht="45" customHeight="1">
      <c r="A17" s="21" t="n">
        <v>13</v>
      </c>
      <c r="B17" s="22" t="inlineStr">
        <is>
          <t>Try to create a customer while offline or with the server rejecting the request (e.g. a required field missing).</t>
        </is>
      </c>
      <c r="C17" s="22" t="inlineStr">
        <is>
          <t>A clear error toast shows the server's message; no customer is silently created.</t>
        </is>
      </c>
      <c r="D17" s="21" t="n"/>
      <c r="E17" s="22" t="inlineStr"/>
    </row>
    <row r="18" ht="18" customHeight="1">
      <c r="A18" s="10" t="inlineStr"/>
      <c r="B18" s="18" t="inlineStr">
        <is>
          <t>C. CUSTOMER DETAIL</t>
        </is>
      </c>
      <c r="C18" s="19" t="n"/>
      <c r="D18" s="19" t="n"/>
      <c r="E18" s="20" t="n"/>
    </row>
    <row r="19" ht="50" customHeight="1">
      <c r="A19" s="21" t="n">
        <v>14</v>
      </c>
      <c r="B19" s="22" t="inlineStr">
        <is>
          <t>Open a customer's detail page.</t>
        </is>
      </c>
      <c r="C19" s="22" t="inlineStr">
        <is>
          <t>Shows the customer's overview info, status, owner, and a row of tabs: Tasks, Call log, Follow-ups, Payments, Leads, Files.</t>
        </is>
      </c>
      <c r="D19" s="21" t="n"/>
      <c r="E19" s="22" t="inlineStr">
        <is>
          <t>There is no single '360' page combining Projects/Tickets/Quotes visually — related records live in their own tabs/sections as listed.</t>
        </is>
      </c>
    </row>
    <row r="20" ht="33" customHeight="1">
      <c r="A20" s="21" t="n">
        <v>15</v>
      </c>
      <c r="B20" s="22" t="inlineStr">
        <is>
          <t>Tap the status pill and change the customer's status.</t>
        </is>
      </c>
      <c r="C20" s="22" t="inlineStr">
        <is>
          <t>The status updates immediately and the change is saved to the server.</t>
        </is>
      </c>
      <c r="D20" s="21" t="n"/>
      <c r="E20" s="22" t="inlineStr"/>
    </row>
    <row r="21" ht="35" customHeight="1">
      <c r="A21" s="21" t="n">
        <v>16</v>
      </c>
      <c r="B21" s="22" t="inlineStr">
        <is>
          <t>Reassign the account manager (owner) from the overflow menu.</t>
        </is>
      </c>
      <c r="C21" s="22" t="inlineStr">
        <is>
          <t>The picker lists teammates from the org roster; picking one updates the owner.</t>
        </is>
      </c>
      <c r="D21" s="21" t="n"/>
      <c r="E21" s="22" t="inlineStr"/>
    </row>
    <row r="22" ht="32" customHeight="1">
      <c r="A22" s="21" t="n">
        <v>17</v>
      </c>
      <c r="B22" s="22" t="inlineStr">
        <is>
          <t>Open the Payments tab.</t>
        </is>
      </c>
      <c r="C22" s="22" t="inlineStr">
        <is>
          <t>Shows the invoice/payment history recorded against this customer.</t>
        </is>
      </c>
      <c r="D22" s="21" t="n"/>
      <c r="E22" s="22" t="inlineStr"/>
    </row>
    <row r="23" ht="28" customHeight="1">
      <c r="A23" s="21" t="n">
        <v>18</v>
      </c>
      <c r="B23" s="22" t="inlineStr">
        <is>
          <t>Open the Leads tab.</t>
        </is>
      </c>
      <c r="C23" s="22" t="inlineStr">
        <is>
          <t>Shows any upsell leads raised against this customer.</t>
        </is>
      </c>
      <c r="D23" s="21" t="n"/>
      <c r="E23" s="22" t="inlineStr"/>
    </row>
    <row r="24" ht="52" customHeight="1">
      <c r="A24" s="21" t="n">
        <v>19</v>
      </c>
      <c r="B24" s="22" t="inlineStr">
        <is>
          <t>From the overflow menu, tap 'Create upsell lead' and confirm.</t>
        </is>
      </c>
      <c r="C24" s="22" t="inlineStr">
        <is>
          <t>A confirmation dialog appears; confirming creates a new lead and moves the customer to 'Upsell in progress' status, then opens the new lead.</t>
        </is>
      </c>
      <c r="D24" s="21" t="n"/>
      <c r="E24" s="22" t="inlineStr"/>
    </row>
    <row r="25" ht="35" customHeight="1">
      <c r="A25" s="21" t="n">
        <v>20</v>
      </c>
      <c r="B25" s="22" t="inlineStr">
        <is>
          <t>Tap 'Create upsell' twice quickly.</t>
        </is>
      </c>
      <c r="C25" s="22" t="inlineStr">
        <is>
          <t>Only one upsell lead is created — the action disables itself while in flight.</t>
        </is>
      </c>
      <c r="D25" s="21" t="n"/>
      <c r="E25" s="22" t="inlineStr"/>
    </row>
    <row r="26" ht="39" customHeight="1">
      <c r="A26" s="21" t="n">
        <v>21</v>
      </c>
      <c r="B26" s="22" t="inlineStr">
        <is>
          <t>Open the Files tab and upload an attachment.</t>
        </is>
      </c>
      <c r="C26" s="22" t="inlineStr">
        <is>
          <t>The file uploads and appears in the list; progress shows on the tab button while uploading.</t>
        </is>
      </c>
      <c r="D26" s="21" t="n"/>
      <c r="E26" s="22" t="inlineStr"/>
    </row>
    <row r="27" ht="54" customHeight="1">
      <c r="A27" s="21" t="n">
        <v>22</v>
      </c>
      <c r="B27" s="22" t="inlineStr">
        <is>
          <t>Look for an SLA (service-level) field on the customer.</t>
        </is>
      </c>
      <c r="C27" s="22" t="inlineStr">
        <is>
          <t>n/a</t>
        </is>
      </c>
      <c r="D27" s="21" t="n"/>
      <c r="E27" s="22" t="inlineStr">
        <is>
          <t>NOT FOUND in mobile — no SLA hours/days field on Customer; helpdesk ticket SLA (if present) is not sourced from a customer-level SLA setting here.</t>
        </is>
      </c>
    </row>
    <row r="28" ht="55" customHeight="1">
      <c r="A28" s="21" t="n">
        <v>23</v>
      </c>
      <c r="B28" s="22" t="inlineStr">
        <is>
          <t>Look for a way to view/add a SECOND contact person (with a primary-contact flag) on the customer.</t>
        </is>
      </c>
      <c r="C28" s="22" t="inlineStr">
        <is>
          <t>n/a</t>
        </is>
      </c>
      <c r="D28" s="21" t="n"/>
      <c r="E28" s="22" t="inlineStr">
        <is>
          <t>NOT AVAILABLE — mobile only carries one set of contact details (name/phone/email) per customer, same as a lead; there is no separate Contacts model.</t>
        </is>
      </c>
    </row>
    <row r="29" ht="29" customHeight="1">
      <c r="A29" s="21" t="n">
        <v>24</v>
      </c>
      <c r="B29" s="22" t="inlineStr">
        <is>
          <t>Add a note to the customer and pin it.</t>
        </is>
      </c>
      <c r="C29" s="22" t="inlineStr">
        <is>
          <t>The note saves and stays pinned at the top of the thread.</t>
        </is>
      </c>
      <c r="D29" s="21" t="n"/>
      <c r="E29" s="22" t="inlineStr"/>
    </row>
    <row r="30" ht="31" customHeight="1">
      <c r="A30" s="21" t="n">
        <v>25</v>
      </c>
      <c r="B30" s="22" t="inlineStr">
        <is>
          <t>Open the Audit / activity trail on a customer after editing it.</t>
        </is>
      </c>
      <c r="C30" s="22" t="inlineStr">
        <is>
          <t>The edit shows as an entry with who changed it and when.</t>
        </is>
      </c>
      <c r="D30" s="21" t="n"/>
      <c r="E30" s="22" t="inlineStr"/>
    </row>
    <row r="31" ht="18" customHeight="1">
      <c r="A31" s="10" t="inlineStr"/>
      <c r="B31" s="18" t="inlineStr">
        <is>
          <t>D. EDIT A CUSTOMER</t>
        </is>
      </c>
      <c r="C31" s="19" t="n"/>
      <c r="D31" s="19" t="n"/>
      <c r="E31" s="20" t="n"/>
    </row>
    <row r="32" ht="38" customHeight="1">
      <c r="A32" s="21" t="n">
        <v>26</v>
      </c>
      <c r="B32" s="22" t="inlineStr">
        <is>
          <t>Open Edit customer from the detail screen.</t>
        </is>
      </c>
      <c r="C32" s="22" t="inlineStr">
        <is>
          <t>The org's configured editable fields load pre-filled with the customer's current values.</t>
        </is>
      </c>
      <c r="D32" s="21" t="n"/>
      <c r="E32" s="22" t="inlineStr"/>
    </row>
    <row r="33" ht="46" customHeight="1">
      <c r="A33" s="21" t="n">
        <v>27</v>
      </c>
      <c r="B33" s="22" t="inlineStr">
        <is>
          <t>On a workspace with no configured customer fields, open Edit customer.</t>
        </is>
      </c>
      <c r="C33" s="22" t="inlineStr">
        <is>
          <t>A message says the workspace has not configured any editable customer fields yet, instead of a blank or broken form.</t>
        </is>
      </c>
      <c r="D33" s="21" t="n"/>
      <c r="E33" s="22" t="inlineStr"/>
    </row>
    <row r="34" ht="37" customHeight="1">
      <c r="A34" s="21" t="n">
        <v>28</v>
      </c>
      <c r="B34" s="22" t="inlineStr">
        <is>
          <t>Change a field and tap Save changes.</t>
        </is>
      </c>
      <c r="C34" s="22" t="inlineStr">
        <is>
          <t>The change saves, the detail page reflects it immediately, and the list updates too.</t>
        </is>
      </c>
      <c r="D34" s="21" t="n"/>
      <c r="E34" s="22" t="inlineStr"/>
    </row>
    <row r="35" ht="31" customHeight="1">
      <c r="A35" s="21" t="n">
        <v>29</v>
      </c>
      <c r="B35" s="22" t="inlineStr">
        <is>
          <t>Tap Save changes without changing anything.</t>
        </is>
      </c>
      <c r="C35" s="22" t="inlineStr">
        <is>
          <t>A 'Nothing to save' message shows; no needless request is sent.</t>
        </is>
      </c>
      <c r="D35" s="21" t="n"/>
      <c r="E35" s="22" t="inlineStr"/>
    </row>
    <row r="36" ht="28" customHeight="1">
      <c r="A36" s="21" t="n">
        <v>30</v>
      </c>
      <c r="B36" s="22" t="inlineStr">
        <is>
          <t>Tap Cancel after making changes.</t>
        </is>
      </c>
      <c r="C36" s="22" t="inlineStr">
        <is>
          <t>You return to the detail screen with no changes saved.</t>
        </is>
      </c>
      <c r="D36" s="21" t="n"/>
      <c r="E36" s="22" t="inlineStr"/>
    </row>
    <row r="37" ht="18" customHeight="1">
      <c r="A37" s="10" t="inlineStr"/>
      <c r="B37" s="18" t="inlineStr">
        <is>
          <t>E. PRODUCTS &amp; PACKAGES — LIST</t>
        </is>
      </c>
      <c r="C37" s="19" t="n"/>
      <c r="D37" s="19" t="n"/>
      <c r="E37" s="20" t="n"/>
    </row>
    <row r="38" ht="38" customHeight="1">
      <c r="A38" s="21" t="n">
        <v>31</v>
      </c>
      <c r="B38" s="22" t="inlineStr">
        <is>
          <t>Open Products from the CRM tab and switch between the Products and Packages tabs/modes.</t>
        </is>
      </c>
      <c r="C38" s="22" t="inlineStr">
        <is>
          <t>Each mode shows only items of that type; counts update per mode.</t>
        </is>
      </c>
      <c r="D38" s="21" t="n"/>
      <c r="E38" s="22" t="inlineStr"/>
    </row>
    <row r="39" ht="37" customHeight="1">
      <c r="A39" s="21" t="n">
        <v>32</v>
      </c>
      <c r="B39" s="22" t="inlineStr">
        <is>
          <t>Search and filter the product list (by category, status, etc.) and pull to refresh.</t>
        </is>
      </c>
      <c r="C39" s="22" t="inlineStr">
        <is>
          <t>The list narrows correctly and refreshes cleanly.</t>
        </is>
      </c>
      <c r="D39" s="21" t="n"/>
      <c r="E39" s="22" t="inlineStr"/>
    </row>
    <row r="40" ht="52" customHeight="1">
      <c r="A40" s="21" t="n">
        <v>33</v>
      </c>
      <c r="B40" s="22" t="inlineStr">
        <is>
          <t>Look for bulk Activate / Deactivate / Delete on multiple selected products.</t>
        </is>
      </c>
      <c r="C40" s="22" t="inlineStr">
        <is>
          <t>n/a</t>
        </is>
      </c>
      <c r="D40" s="21" t="n"/>
      <c r="E40" s="22" t="inlineStr">
        <is>
          <t>NOT AVAILABLE — no multi-select/bulk actions found on the mobile Products list; each item is acted on individually from its own detail page.</t>
        </is>
      </c>
    </row>
    <row r="41" ht="18" customHeight="1">
      <c r="A41" s="10" t="inlineStr"/>
      <c r="B41" s="18" t="inlineStr">
        <is>
          <t>F. CREATE A PRODUCT</t>
        </is>
      </c>
      <c r="C41" s="19" t="n"/>
      <c r="D41" s="19" t="n"/>
      <c r="E41" s="20" t="n"/>
    </row>
    <row r="42" ht="41" customHeight="1">
      <c r="A42" s="21" t="n">
        <v>34</v>
      </c>
      <c r="B42" s="22" t="inlineStr">
        <is>
          <t>Tap + and add a new Product with name, SKU, category, billing unit, price and GST rate, then save.</t>
        </is>
      </c>
      <c r="C42" s="22" t="inlineStr">
        <is>
          <t>The product saves and appears in the catalog with the entered details.</t>
        </is>
      </c>
      <c r="D42" s="21" t="n"/>
      <c r="E42" s="22" t="inlineStr"/>
    </row>
    <row r="43" ht="28" customHeight="1">
      <c r="A43" s="21" t="n">
        <v>35</v>
      </c>
      <c r="B43" s="22" t="inlineStr">
        <is>
          <t>Leave the product name blank and try to save.</t>
        </is>
      </c>
      <c r="C43" s="22" t="inlineStr">
        <is>
          <t>Blocked with 'Enter the product / service name'.</t>
        </is>
      </c>
      <c r="D43" s="21" t="n"/>
      <c r="E43" s="22" t="inlineStr"/>
    </row>
    <row r="44" ht="42" customHeight="1">
      <c r="A44" s="21" t="n">
        <v>36</v>
      </c>
      <c r="B44" s="22" t="inlineStr">
        <is>
          <t>Try to save a product with a GST rate other than 0, 5, 12, 18 or 28 (if reachable).</t>
        </is>
      </c>
      <c r="C44" s="22" t="inlineStr">
        <is>
          <t>Only those five rates are offered in the picker, so an invalid rate cannot be entered from this screen.</t>
        </is>
      </c>
      <c r="D44" s="21" t="n"/>
      <c r="E44" s="22" t="inlineStr"/>
    </row>
    <row r="45" ht="37" customHeight="1">
      <c r="A45" s="21" t="n">
        <v>37</v>
      </c>
      <c r="B45" s="22" t="inlineStr">
        <is>
          <t>Create a second product using a SKU/code that already exists.</t>
        </is>
      </c>
      <c r="C45" s="22" t="inlineStr">
        <is>
          <t>The server rejects it and a clear error toast is shown (code must be unique per org).</t>
        </is>
      </c>
      <c r="D45" s="21" t="n"/>
      <c r="E45" s="22" t="inlineStr"/>
    </row>
    <row r="46" ht="58" customHeight="1">
      <c r="A46" s="21" t="n">
        <v>38</v>
      </c>
      <c r="B46" s="22" t="inlineStr">
        <is>
          <t>Switch the Add sheet to 'Package' mode and create a package.</t>
        </is>
      </c>
      <c r="C46" s="22" t="inlineStr">
        <is>
          <t>The Price field is replaced with a locked 'From components' readout, and the item saves as Inactive with a note that components must be added before activating.</t>
        </is>
      </c>
      <c r="D46" s="21" t="n"/>
      <c r="E46" s="22" t="inlineStr">
        <is>
          <t>The mobile app has no component editor, so a package cannot be made active or given components from the phone.</t>
        </is>
      </c>
    </row>
    <row r="47" ht="44" customHeight="1">
      <c r="A47" s="21" t="n">
        <v>39</v>
      </c>
      <c r="B47" s="22" t="inlineStr">
        <is>
          <t>On a workspace with a configured Product layout, open Add product / Add package.</t>
        </is>
      </c>
      <c r="C47" s="22" t="inlineStr">
        <is>
          <t>The org's own extra fields (including any custom fields) render below the fixed Name row, in the org's order.</t>
        </is>
      </c>
      <c r="D47" s="21" t="n"/>
      <c r="E47" s="22" t="inlineStr"/>
    </row>
    <row r="48" ht="44" customHeight="1">
      <c r="A48" s="21" t="n">
        <v>40</v>
      </c>
      <c r="B48" s="22" t="inlineStr">
        <is>
          <t>Try to change the Item type (Product vs Package) after creation.</t>
        </is>
      </c>
      <c r="C48" s="22" t="inlineStr">
        <is>
          <t>n/a</t>
        </is>
      </c>
      <c r="D48" s="21" t="n"/>
      <c r="E48" s="22" t="inlineStr">
        <is>
          <t>By design item type cannot be changed after create — confirm there is no such control anywhere on Edit/Detail.</t>
        </is>
      </c>
    </row>
    <row r="49" ht="18" customHeight="1">
      <c r="A49" s="10" t="inlineStr"/>
      <c r="B49" s="18" t="inlineStr">
        <is>
          <t>G. PRODUCT DETAIL &amp; EDIT</t>
        </is>
      </c>
      <c r="C49" s="19" t="n"/>
      <c r="D49" s="19" t="n"/>
      <c r="E49" s="20" t="n"/>
    </row>
    <row r="50" ht="67" customHeight="1">
      <c r="A50" s="21" t="n">
        <v>41</v>
      </c>
      <c r="B50" s="22" t="inlineStr">
        <is>
          <t>Open a product's detail page.</t>
        </is>
      </c>
      <c r="C50" s="22" t="inlineStr">
        <is>
          <t>Shows its category, SKU, billing unit, item type, price/GST breakdown, description, any custom fields (e.g. Warranty), performance stats and notes — using the org's own field labels and order.</t>
        </is>
      </c>
      <c r="D50" s="21" t="n"/>
      <c r="E50" s="22" t="inlineStr">
        <is>
          <t>Internal ids and any hidden/unconfigured columns are not shown.</t>
        </is>
      </c>
    </row>
    <row r="51" ht="42" customHeight="1">
      <c r="A51" s="21" t="n">
        <v>42</v>
      </c>
      <c r="B51" s="22" t="inlineStr">
        <is>
          <t>Check that a custom product field (e.g. Warranty) set up by an admin shows correctly on the detail page.</t>
        </is>
      </c>
      <c r="C51" s="22" t="inlineStr">
        <is>
          <t>The custom field's value appears with its configured label.</t>
        </is>
      </c>
      <c r="D51" s="21" t="n"/>
      <c r="E51" s="22" t="inlineStr"/>
    </row>
    <row r="52" ht="28" customHeight="1">
      <c r="A52" s="21" t="n">
        <v>43</v>
      </c>
      <c r="B52" s="22" t="inlineStr">
        <is>
          <t>Toggle a product Active/Inactive from its detail page.</t>
        </is>
      </c>
      <c r="C52" s="22" t="inlineStr">
        <is>
          <t>The status flips immediately and is saved.</t>
        </is>
      </c>
      <c r="D52" s="21" t="n"/>
      <c r="E52" s="22" t="inlineStr"/>
    </row>
    <row r="53" ht="62" customHeight="1">
      <c r="A53" s="21" t="n">
        <v>44</v>
      </c>
      <c r="B53" s="22" t="inlineStr">
        <is>
          <t>Try to activate a package with no components.</t>
        </is>
      </c>
      <c r="C53" s="22" t="inlineStr">
        <is>
          <t>n/a</t>
        </is>
      </c>
      <c r="D53" s="21" t="n"/>
      <c r="E53" s="22" t="inlineStr">
        <is>
          <t>Not directly testable from mobile — packages can only be created inactive here; confirm the app does not offer an Activate control that would violate the no-components rule.</t>
        </is>
      </c>
    </row>
    <row r="54" ht="42" customHeight="1">
      <c r="A54" s="21" t="n">
        <v>45</v>
      </c>
      <c r="B54" s="22" t="inlineStr">
        <is>
          <t>Edit a product's price after it has already been used on an existing quote, then re-open that old quote.</t>
        </is>
      </c>
      <c r="C54" s="22" t="inlineStr">
        <is>
          <t>The old quote keeps its original snapshot price; only new quotes use the updated price.</t>
        </is>
      </c>
      <c r="D54" s="21" t="n"/>
      <c r="E54" s="22" t="inlineStr"/>
    </row>
    <row r="55" ht="46" customHeight="1">
      <c r="A55" s="21" t="n">
        <v>46</v>
      </c>
      <c r="B55" s="22" t="inlineStr">
        <is>
          <t>Delete a product from its detail page and confirm.</t>
        </is>
      </c>
      <c r="C55" s="22" t="inlineStr">
        <is>
          <t>A confirmation dialog warns this is a permanent delete; confirming removes the product from the catalog and the list.</t>
        </is>
      </c>
      <c r="D55" s="21" t="n"/>
      <c r="E55" s="22" t="inlineStr">
        <is>
          <t>This is a hard delete, not an archive — any quotes/deals referencing it keep their own snapshot.</t>
        </is>
      </c>
    </row>
    <row r="56" ht="53" customHeight="1">
      <c r="A56" s="21" t="n">
        <v>47</v>
      </c>
      <c r="B56" s="22" t="inlineStr">
        <is>
          <t>Look at the 'usage' / deals-count info on a product before deleting it.</t>
        </is>
      </c>
      <c r="C56" s="22" t="inlineStr">
        <is>
          <t>If the product has related activity, a usage/performance summary shows; if not, that section is hidden rather than shown as a misleading zero.</t>
        </is>
      </c>
      <c r="D56" s="21" t="n"/>
      <c r="E56" s="22" t="inlineStr"/>
    </row>
    <row r="57" ht="30" customHeight="1">
      <c r="A57" s="21" t="n">
        <v>48</v>
      </c>
      <c r="B57" s="22" t="inlineStr">
        <is>
          <t>Open the audit/activity log on a product after editing it.</t>
        </is>
      </c>
      <c r="C57" s="22" t="inlineStr">
        <is>
          <t>The edit appears as an entry with who changed it and when.</t>
        </is>
      </c>
      <c r="D57" s="21" t="n"/>
      <c r="E57" s="22" t="inlineStr"/>
    </row>
  </sheetData>
  <mergeCells count="8">
    <mergeCell ref="B31:E31"/>
    <mergeCell ref="B18:E18"/>
    <mergeCell ref="B41:E41"/>
    <mergeCell ref="B49:E49"/>
    <mergeCell ref="A1:E1"/>
    <mergeCell ref="B3:E3"/>
    <mergeCell ref="B37:E37"/>
    <mergeCell ref="B10:E10"/>
  </mergeCells>
  <dataValidations count="1">
    <dataValidation sqref="D4 D5 D6 D7 D8 D9 D11 D12 D13 D14 D15 D16 D17 D19 D20 D21 D22 D23 D24 D25 D26 D27 D28 D29 D30 D32 D33 D34 D35 D36 D38 D39 D40 D42 D43 D44 D45 D46 D47 D48 D50 D51 D52 D53 D54 D55 D56 D57" showDropDown="0" showInputMessage="0" showErrorMessage="0" allowBlank="1" type="list">
      <formula1>"Pass,Fail,Blocked,N/A,Not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Money Path - Quotes, Payments &amp; Invoices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QUOTES — LIST &amp; CREATE</t>
        </is>
      </c>
      <c r="C3" s="19" t="n"/>
      <c r="D3" s="19" t="n"/>
      <c r="E3" s="20" t="n"/>
    </row>
    <row r="4" ht="53" customHeight="1">
      <c r="A4" s="21" t="n">
        <v>1</v>
      </c>
      <c r="B4" s="22" t="inlineStr">
        <is>
          <t>Open Quotes and check the status tabs (the org's own quote statuses, or the built-in Draft/Sent/Accepted/Rejected/Expired if none are set up).</t>
        </is>
      </c>
      <c r="C4" s="22" t="inlineStr">
        <is>
          <t>Each tab shows the right count for its status.</t>
        </is>
      </c>
      <c r="D4" s="21" t="n"/>
      <c r="E4" s="22" t="inlineStr"/>
    </row>
    <row r="5" ht="51" customHeight="1">
      <c r="A5" s="21" t="n">
        <v>2</v>
      </c>
      <c r="B5" s="22" t="inlineStr">
        <is>
          <t>Tap Add quote, pick a lead, then add two product lines with different quantities.</t>
        </is>
      </c>
      <c r="C5" s="22" t="inlineStr">
        <is>
          <t>The unit price comes from the product catalog for each line, and the line total and quote total recompute live as you change quantity.</t>
        </is>
      </c>
      <c r="D5" s="21" t="n"/>
      <c r="E5" s="22" t="inlineStr"/>
    </row>
    <row r="6" ht="29" customHeight="1">
      <c r="A6" s="21" t="n">
        <v>3</v>
      </c>
      <c r="B6" s="22" t="inlineStr">
        <is>
          <t>Try to create a quote without picking a lead.</t>
        </is>
      </c>
      <c r="C6" s="22" t="inlineStr">
        <is>
          <t>Blocked with "Pick a lead first" — nothing is submitted.</t>
        </is>
      </c>
      <c r="D6" s="21" t="n"/>
      <c r="E6" s="22" t="inlineStr"/>
    </row>
    <row r="7" ht="28" customHeight="1">
      <c r="A7" s="21" t="n">
        <v>4</v>
      </c>
      <c r="B7" s="22" t="inlineStr">
        <is>
          <t>Try to create a quote with no product lines added.</t>
        </is>
      </c>
      <c r="C7" s="22" t="inlineStr">
        <is>
          <t>Blocked with "Add at least one product line".</t>
        </is>
      </c>
      <c r="D7" s="21" t="n"/>
      <c r="E7" s="22" t="inlineStr"/>
    </row>
    <row r="8" ht="42" customHeight="1">
      <c r="A8" s="21" t="n">
        <v>5</v>
      </c>
      <c r="B8" s="22" t="inlineStr">
        <is>
          <t>Choose payment type "Installments – even split" and leave the installment count blank or set it to 1.</t>
        </is>
      </c>
      <c r="C8" s="22" t="inlineStr">
        <is>
          <t>Blocked with a message that an even split needs at least 2 installments.</t>
        </is>
      </c>
      <c r="D8" s="21" t="n"/>
      <c r="E8" s="22" t="inlineStr"/>
    </row>
    <row r="9" ht="50" customHeight="1">
      <c r="A9" s="21" t="n">
        <v>6</v>
      </c>
      <c r="B9" s="22" t="inlineStr">
        <is>
          <t>Select each payment type in turn: Lump sum, Subscription, Installments – even split, Installments – custom amounts.</t>
        </is>
      </c>
      <c r="C9" s="22" t="inlineStr">
        <is>
          <t>Each is selectable; the installment-count box only appears for even split, and the billing-period box only appears for Subscription.</t>
        </is>
      </c>
      <c r="D9" s="21" t="n"/>
      <c r="E9" s="22" t="inlineStr"/>
    </row>
    <row r="10" ht="39" customHeight="1">
      <c r="A10" s="21" t="n">
        <v>7</v>
      </c>
      <c r="B10" s="22" t="inlineStr">
        <is>
          <t>Submit a fully filled-in quote.</t>
        </is>
      </c>
      <c r="C10" s="22" t="inlineStr">
        <is>
          <t>A confirmation toast names the new quote number and the Quotes list refreshes to include it.</t>
        </is>
      </c>
      <c r="D10" s="21" t="n"/>
      <c r="E10" s="22" t="inlineStr"/>
    </row>
    <row r="11" ht="37" customHeight="1">
      <c r="A11" s="21" t="n">
        <v>8</v>
      </c>
      <c r="B11" s="22" t="inlineStr">
        <is>
          <t>Tap "Create quote" twice quickly (double-tap).</t>
        </is>
      </c>
      <c r="C11" s="22" t="inlineStr">
        <is>
          <t>Only one quote is created — the button disables itself while the request is in flight.</t>
        </is>
      </c>
      <c r="D11" s="21" t="n"/>
      <c r="E11" s="22" t="inlineStr"/>
    </row>
    <row r="12" ht="41" customHeight="1">
      <c r="A12" s="21" t="n">
        <v>9</v>
      </c>
      <c r="B12" s="22" t="inlineStr">
        <is>
          <t>Search the Quotes list, apply a filter, and save it as a named view.</t>
        </is>
      </c>
      <c r="C12" s="22" t="inlineStr">
        <is>
          <t>The list updates live to match; the saved view appears as a chip you can re-apply on a later visit.</t>
        </is>
      </c>
      <c r="D12" s="21" t="n"/>
      <c r="E12" s="22" t="inlineStr"/>
    </row>
    <row r="13" ht="18" customHeight="1">
      <c r="A13" s="10" t="inlineStr"/>
      <c r="B13" s="18" t="inlineStr">
        <is>
          <t>B. QUOTE DETAIL &amp; STATUS ACTIONS</t>
        </is>
      </c>
      <c r="C13" s="19" t="n"/>
      <c r="D13" s="19" t="n"/>
      <c r="E13" s="20" t="n"/>
    </row>
    <row r="14" ht="77" customHeight="1">
      <c r="A14" s="21" t="n">
        <v>10</v>
      </c>
      <c r="B14" s="22" t="inlineStr">
        <is>
          <t>Open a Draft or Sent quote and tap "Accept &amp; invoice".</t>
        </is>
      </c>
      <c r="C14" s="22" t="inlineStr">
        <is>
          <t>The quote moves to the org's converted status and a toast confirms it. Note: the app does not build the invoice itself — the invoice and its payment schedule are created by the server as a side effect of this one status change.</t>
        </is>
      </c>
      <c r="D14" s="21" t="n"/>
      <c r="E14" s="22" t="inlineStr"/>
    </row>
    <row r="15" ht="47" customHeight="1">
      <c r="A15" s="21" t="n">
        <v>11</v>
      </c>
      <c r="B15" s="22" t="inlineStr">
        <is>
          <t>On a different Sent quote, tap the reject (X) button instead of accepting.</t>
        </is>
      </c>
      <c r="C15" s="22" t="inlineStr">
        <is>
          <t>The quote moves to the org's rejected status; the Accept/Reject buttons disappear once a quote is no longer Draft or Sent.</t>
        </is>
      </c>
      <c r="D15" s="21" t="n"/>
      <c r="E15" s="22" t="inlineStr"/>
    </row>
    <row r="16" ht="90" customHeight="1">
      <c r="A16" s="21" t="n">
        <v>12</v>
      </c>
      <c r="B16" s="22" t="inlineStr">
        <is>
          <t>Compare the total shown while building a quote on the New Quote screen against the total shown when you open that same quote's detail page.</t>
        </is>
      </c>
      <c r="C16" s="22" t="inlineStr">
        <is>
          <t>VERIFY — the New Quote screen labels its total "Tax-free — product amounts only", but the quote detail screen's line-items card adds an 18% GST line on top of the subtotal. Check which figure actually matches the amount saved on the server and flag the mismatch if the two disagree.</t>
        </is>
      </c>
      <c r="D16" s="21" t="n"/>
      <c r="E16" s="22" t="inlineStr">
        <is>
          <t>Confirmed in code: add_quote_screen shows a tax-free total; quote_detail_screen always computes subtotal × 1.18 as TOTAL regardless of the real record. Likely a leftover mock display rather than a real tax calculation — needs a tester to confirm against the actual saved total.</t>
        </is>
      </c>
    </row>
    <row r="17" ht="57" customHeight="1">
      <c r="A17" s="21" t="n">
        <v>13</v>
      </c>
      <c r="B17" s="22" t="inlineStr">
        <is>
          <t>Long-press an editable row in the "Quote details" card (e.g. valid until, notes) and change its value.</t>
        </is>
      </c>
      <c r="C17" s="22" t="inlineStr">
        <is>
          <t>The field saves through the API, and the Activity card below records the change; a row that cannot be edited explains why instead of doing nothing silently.</t>
        </is>
      </c>
      <c r="D17" s="21" t="n"/>
      <c r="E17" s="22" t="inlineStr"/>
    </row>
    <row r="18" ht="30" customHeight="1">
      <c r="A18" s="21" t="n">
        <v>14</v>
      </c>
      <c r="B18" s="22" t="inlineStr">
        <is>
          <t>Add an internal note to a quote.</t>
        </is>
      </c>
      <c r="C18" s="22" t="inlineStr">
        <is>
          <t>The note posts and appears in the notes thread immediately.</t>
        </is>
      </c>
      <c r="D18" s="21" t="n"/>
      <c r="E18" s="22" t="inlineStr"/>
    </row>
    <row r="19" ht="73" customHeight="1">
      <c r="A19" s="21" t="n">
        <v>15</v>
      </c>
      <c r="B19" s="22" t="inlineStr">
        <is>
          <t>Open a quote's Activity card.</t>
        </is>
      </c>
      <c r="C19" s="22" t="inlineStr">
        <is>
          <t>It shows the real audit trail (created, status changes, notes) from the server; if the audit log is unavailable it falls back to a simplified timeline derived from the quote's own status rather than showing nothing.</t>
        </is>
      </c>
      <c r="D19" s="21" t="n"/>
      <c r="E19" s="22" t="inlineStr"/>
    </row>
    <row r="20" ht="47" customHeight="1">
      <c r="A20" s="21" t="n">
        <v>16</v>
      </c>
      <c r="B20" s="22" t="inlineStr">
        <is>
          <t>Try "Accept &amp; invoice" on an org that has no status flagged as "converted" (check with an admin first).</t>
        </is>
      </c>
      <c r="C20" s="22" t="inlineStr">
        <is>
          <t>The app refuses with "No accepted status is configured for quotes — ask an admin to set one" instead of failing silently.</t>
        </is>
      </c>
      <c r="D20" s="21" t="n"/>
      <c r="E20" s="22" t="inlineStr"/>
    </row>
    <row r="21" ht="18" customHeight="1">
      <c r="A21" s="10" t="inlineStr"/>
      <c r="B21" s="18" t="inlineStr">
        <is>
          <t>C. PAYMENTS — RECORD &amp; SETTLE</t>
        </is>
      </c>
      <c r="C21" s="19" t="n"/>
      <c r="D21" s="19" t="n"/>
      <c r="E21" s="20" t="n"/>
    </row>
    <row r="22" ht="48" customHeight="1">
      <c r="A22" s="21" t="n">
        <v>17</v>
      </c>
      <c r="B22" s="22" t="inlineStr">
        <is>
          <t>Open Payments and switch between the Payments and Invoices mode toggle at the top.</t>
        </is>
      </c>
      <c r="C22" s="22" t="inlineStr">
        <is>
          <t>Each mode shows its own status tabs and counts; pulling to refresh reloads both modes together, not just the one on screen.</t>
        </is>
      </c>
      <c r="D22" s="21" t="n"/>
      <c r="E22" s="22" t="inlineStr"/>
    </row>
    <row r="23" ht="39" customHeight="1">
      <c r="A23" s="21" t="n">
        <v>18</v>
      </c>
      <c r="B23" s="22" t="inlineStr">
        <is>
          <t>Use "Record payment" (the bottom-nav +) and pick an invoice that has an unpaid installment.</t>
        </is>
      </c>
      <c r="C23" s="22" t="inlineStr">
        <is>
          <t>An info banner shows that installment's amount and label before you confirm.</t>
        </is>
      </c>
      <c r="D23" s="21" t="n"/>
      <c r="E23" s="22" t="inlineStr"/>
    </row>
    <row r="24" ht="44" customHeight="1">
      <c r="A24" s="21" t="n">
        <v>19</v>
      </c>
      <c r="B24" s="22" t="inlineStr">
        <is>
          <t>Confirm the settle action.</t>
        </is>
      </c>
      <c r="C24" s="22" t="inlineStr">
        <is>
          <t>That installment is marked paid through the API, and both the Payments and Invoices lists refresh to show it.</t>
        </is>
      </c>
      <c r="D24" s="21" t="n"/>
      <c r="E24" s="22" t="inlineStr"/>
    </row>
    <row r="25" ht="39" customHeight="1">
      <c r="A25" s="21" t="n">
        <v>20</v>
      </c>
      <c r="B25" s="22" t="inlineStr">
        <is>
          <t>Try Record payment on an invoice where every installment is already settled.</t>
        </is>
      </c>
      <c r="C25" s="22" t="inlineStr">
        <is>
          <t>Blocked with "All installments already settled" — the sheet closes without creating anything.</t>
        </is>
      </c>
      <c r="D25" s="21" t="n"/>
      <c r="E25" s="22" t="inlineStr"/>
    </row>
    <row r="26" ht="79" customHeight="1">
      <c r="A26" s="21" t="n">
        <v>21</v>
      </c>
      <c r="B26" s="22" t="inlineStr">
        <is>
          <t>Look for a way to record a custom / ad-hoc amount (not tied to a scheduled installment) in Record payment while connected to the live backend.</t>
        </is>
      </c>
      <c r="C26" s="22" t="inlineStr">
        <is>
          <t>VERIFY — an ad-hoc amount option only exists in the app's offline demo mode. Against the real backend, only "Settle an installment" is offered; there is currently no backend support for recording an arbitrary one-off amount from the app.</t>
        </is>
      </c>
      <c r="D26" s="21" t="n"/>
      <c r="E26" s="22" t="inlineStr">
        <is>
          <t>Confirmed in code: the ad-hoc toggle and its amount/date/label fields are hidden whenever the live API is in use, and the submit path shows "Recording ad-hoc payments isn't available yet" as a safeguard.</t>
        </is>
      </c>
    </row>
    <row r="27" ht="50" customHeight="1">
      <c r="A27" s="21" t="n">
        <v>22</v>
      </c>
      <c r="B27" s="22" t="inlineStr">
        <is>
          <t>From an Invoice's installment schedule, tap "Settle now" on an open row.</t>
        </is>
      </c>
      <c r="C27" s="22" t="inlineStr">
        <is>
          <t>That installment is marked paid via the API and both lists refresh — the same real write as the Record payment sheet's settle path.</t>
        </is>
      </c>
      <c r="D27" s="21" t="n"/>
      <c r="E27" s="22" t="inlineStr"/>
    </row>
    <row r="28" ht="18" customHeight="1">
      <c r="A28" s="10" t="inlineStr"/>
      <c r="B28" s="18" t="inlineStr">
        <is>
          <t>D. PAYMENT &amp; INVOICE DETAIL</t>
        </is>
      </c>
      <c r="C28" s="19" t="n"/>
      <c r="D28" s="19" t="n"/>
      <c r="E28" s="20" t="n"/>
    </row>
    <row r="29" ht="89" customHeight="1">
      <c r="A29" s="21" t="n">
        <v>23</v>
      </c>
      <c r="B29" s="22" t="inlineStr">
        <is>
          <t>Open a Payment that is not yet paid and tap the "Mark as paid" button in its header card.</t>
        </is>
      </c>
      <c r="C29" s="22" t="inlineStr">
        <is>
          <t>VERIFY — this button only shows a "Payment marked as paid" toast; it does not call the API. Reload the screen afterward and confirm the status pill still shows unpaid/due.</t>
        </is>
      </c>
      <c r="D29" s="21" t="n"/>
      <c r="E29" s="22" t="inlineStr">
        <is>
          <t>Confirmed in code: PaymentDetailScreen's header "Mark as paid" action is a bare toast with no repository call, unlike the Invoice screen's "Settle now" row and the Record payment sheet's settle path, which do write to the server. This is an inconsistency worth reporting.</t>
        </is>
      </c>
    </row>
    <row r="30" ht="43" customHeight="1">
      <c r="A30" s="21" t="n">
        <v>24</v>
      </c>
      <c r="B30" s="22" t="inlineStr">
        <is>
          <t>From a Payment's Related card, tap through to its linked Customer and Invoice.</t>
        </is>
      </c>
      <c r="C30" s="22" t="inlineStr">
        <is>
          <t>Both links open the correct record; a payment on a lead that has not converted yet shows no customer link.</t>
        </is>
      </c>
      <c r="D30" s="21" t="n"/>
      <c r="E30" s="22" t="inlineStr"/>
    </row>
    <row r="31" ht="54" customHeight="1">
      <c r="A31" s="21" t="n">
        <v>25</v>
      </c>
      <c r="B31" s="22" t="inlineStr">
        <is>
          <t>Open an Invoice and check the TOTAL / PAID / BALANCE figures at the top.</t>
        </is>
      </c>
      <c r="C31" s="22" t="inlineStr">
        <is>
          <t>These prefer the server's own summary figures over anything computed on the device, so they should match what a web user sees for the same invoice.</t>
        </is>
      </c>
      <c r="D31" s="21" t="n"/>
      <c r="E31" s="22" t="inlineStr"/>
    </row>
    <row r="32" ht="43" customHeight="1">
      <c r="A32" s="21" t="n">
        <v>26</v>
      </c>
      <c r="B32" s="22" t="inlineStr">
        <is>
          <t>Tap "Customer" on an invoice raised against a lead that has not converted to a customer yet.</t>
        </is>
      </c>
      <c r="C32" s="22" t="inlineStr">
        <is>
          <t>A toast explains "No customer linked — its lead has not converted yet" instead of opening a broken screen.</t>
        </is>
      </c>
      <c r="D32" s="21" t="n"/>
      <c r="E32" s="22" t="inlineStr"/>
    </row>
    <row r="33" ht="54" customHeight="1">
      <c r="A33" s="21" t="n">
        <v>27</v>
      </c>
      <c r="B33" s="22" t="inlineStr">
        <is>
          <t>Add a note to an invoice.</t>
        </is>
      </c>
      <c r="C33" s="22" t="inlineStr">
        <is>
          <t>The note attaches to the invoice's source quotation — the backend has no separate notes bucket for a payment/invoice — and appears in the thread.</t>
        </is>
      </c>
      <c r="D33" s="21" t="n"/>
      <c r="E33" s="22" t="inlineStr"/>
    </row>
    <row r="34" ht="18" customHeight="1">
      <c r="A34" s="10" t="inlineStr"/>
      <c r="B34" s="18" t="inlineStr">
        <is>
          <t>E. BILLING (READ-ONLY IN THE LIVE APP)</t>
        </is>
      </c>
      <c r="C34" s="19" t="n"/>
      <c r="D34" s="19" t="n"/>
      <c r="E34" s="20" t="n"/>
    </row>
    <row r="35" ht="75" customHeight="1">
      <c r="A35" s="21" t="n">
        <v>28</v>
      </c>
      <c r="B35" s="22" t="inlineStr">
        <is>
          <t>Open Billing while connected to the live backend.</t>
        </is>
      </c>
      <c r="C35" s="22" t="inlineStr">
        <is>
          <t>Only three real things are shown: Storage usage, Invoice &amp; billing history, and a list of available Plans — plus a note that plan, seats and payment mandate are "managed by support — the app cannot read or change them yet."</t>
        </is>
      </c>
      <c r="D35" s="21" t="n"/>
      <c r="E35" s="22" t="inlineStr">
        <is>
          <t>Confirmed in code: against the live API the plan header, seat/license card, mandate card and account-state card are all left out on purpose, because no subscription endpoint exists to fill them.</t>
        </is>
      </c>
    </row>
    <row r="36" ht="43" customHeight="1">
      <c r="A36" s="21" t="n">
        <v>29</v>
      </c>
      <c r="B36" s="22" t="inlineStr">
        <is>
          <t>Tap an invoice row in the billing history.</t>
        </is>
      </c>
      <c r="C36" s="22" t="inlineStr">
        <is>
          <t>A toast says "This invoice has no downloadable copy yet" — there is no PDF or download in the mobile app.</t>
        </is>
      </c>
      <c r="D36" s="21" t="n"/>
      <c r="E36" s="22" t="inlineStr"/>
    </row>
    <row r="37" ht="58" customHeight="1">
      <c r="A37" s="21" t="n">
        <v>30</v>
      </c>
      <c r="B37" s="22" t="inlineStr">
        <is>
          <t>Tap the Plans card to open the plans list.</t>
        </is>
      </c>
      <c r="C37" s="22" t="inlineStr">
        <is>
          <t>Real plan names, prices and included modules load from the server; a note at the bottom says changing plans is handled by support and cannot be done from the app.</t>
        </is>
      </c>
      <c r="D37" s="21" t="n"/>
      <c r="E37" s="22" t="inlineStr"/>
    </row>
    <row r="38" ht="83" customHeight="1">
      <c r="A38" s="21" t="n">
        <v>31</v>
      </c>
      <c r="B38" s="22" t="inlineStr">
        <is>
          <t>Confirm there is no working "Start trial", "Set up payment mandate", "Add/remove seats", "Cancel subscription", or "Suspend/reactivate account" control anywhere in Billing on the live app.</t>
        </is>
      </c>
      <c r="C38" s="22" t="inlineStr">
        <is>
          <t>None of these actions exist against the live backend — they are web/support-only. If a button resembling one of these appears and does something, it is only the app's offline demo mode showing a toast, not a real action, and should be reported as such.</t>
        </is>
      </c>
      <c r="D38" s="21" t="n"/>
      <c r="E38" s="22" t="inlineStr"/>
    </row>
  </sheetData>
  <mergeCells count="6">
    <mergeCell ref="B13:E13"/>
    <mergeCell ref="B21:E21"/>
    <mergeCell ref="A1:E1"/>
    <mergeCell ref="B3:E3"/>
    <mergeCell ref="B34:E34"/>
    <mergeCell ref="B28:E28"/>
  </mergeCells>
  <dataValidations count="1">
    <dataValidation sqref="D4 D5 D6 D7 D8 D9 D10 D11 D12 D14 D15 D16 D17 D18 D19 D20 D22 D23 D24 D25 D26 D27 D29 D30 D31 D32 D33 D35 D36 D37 D38" showDropDown="0" showInputMessage="0" showErrorMessage="0" allowBlank="1" type="list">
      <formula1>"Pass,Fail,Blocked,N/A,Not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3"/>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Tasks, Follow-ups, Notes, Calls &amp; Helpdesk</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TASKS</t>
        </is>
      </c>
      <c r="C3" s="19" t="n"/>
      <c r="D3" s="19" t="n"/>
      <c r="E3" s="20" t="n"/>
    </row>
    <row r="4" ht="53" customHeight="1">
      <c r="A4" s="21" t="n">
        <v>1</v>
      </c>
      <c r="B4" s="22" t="inlineStr">
        <is>
          <t>From a lead or customer, tap + and create a task with a title, type (Call/Email/Meeting/etc.), priority (Low/Medium/High) and a due date/time.</t>
        </is>
      </c>
      <c r="C4" s="22" t="inlineStr">
        <is>
          <t>The task saves and shows on the lead/customer and in the Tasks list with its type and priority chips.</t>
        </is>
      </c>
      <c r="D4" s="21" t="n"/>
      <c r="E4" s="22" t="inlineStr"/>
    </row>
    <row r="5" ht="28" customHeight="1">
      <c r="A5" s="21" t="n">
        <v>2</v>
      </c>
      <c r="B5" s="22" t="inlineStr">
        <is>
          <t>Try to save a new task with the title left blank.</t>
        </is>
      </c>
      <c r="C5" s="22" t="inlineStr">
        <is>
          <t>Saving is blocked until a title is entered.</t>
        </is>
      </c>
      <c r="D5" s="21" t="n"/>
      <c r="E5" s="22" t="inlineStr"/>
    </row>
    <row r="6" ht="33" customHeight="1">
      <c r="A6" s="21" t="n">
        <v>3</v>
      </c>
      <c r="B6" s="22" t="inlineStr">
        <is>
          <t>Open a task and tap 'Mark complete'.</t>
        </is>
      </c>
      <c r="C6" s="22" t="inlineStr">
        <is>
          <t>The task shows Completed; the same tap now reads 'Completed · reopen'.</t>
        </is>
      </c>
      <c r="D6" s="21" t="n"/>
      <c r="E6" s="22" t="inlineStr"/>
    </row>
    <row r="7" ht="28" customHeight="1">
      <c r="A7" s="21" t="n">
        <v>4</v>
      </c>
      <c r="B7" s="22" t="inlineStr">
        <is>
          <t>Tap 'Completed · reopen' on a finished task.</t>
        </is>
      </c>
      <c r="C7" s="22" t="inlineStr">
        <is>
          <t>The task reopens back to its previous status.</t>
        </is>
      </c>
      <c r="D7" s="21" t="n"/>
      <c r="E7" s="22" t="inlineStr"/>
    </row>
    <row r="8" ht="43" customHeight="1">
      <c r="A8" s="21" t="n">
        <v>5</v>
      </c>
      <c r="B8" s="22" t="inlineStr">
        <is>
          <t>Open a task and change its status from the status chip (org-defined statuses, e.g. Open/In Progress/Done).</t>
        </is>
      </c>
      <c r="C8" s="22" t="inlineStr">
        <is>
          <t>The status updates immediately and the chip colour/label changes.</t>
        </is>
      </c>
      <c r="D8" s="21" t="n"/>
      <c r="E8" s="22" t="inlineStr"/>
    </row>
    <row r="9" ht="28" customHeight="1">
      <c r="A9" s="21" t="n">
        <v>6</v>
      </c>
      <c r="B9" s="22" t="inlineStr">
        <is>
          <t>Attach a file to a task and reopen the task later.</t>
        </is>
      </c>
      <c r="C9" s="22" t="inlineStr">
        <is>
          <t>The file is listed under the task and can be opened.</t>
        </is>
      </c>
      <c r="D9" s="21" t="n"/>
      <c r="E9" s="22" t="inlineStr"/>
    </row>
    <row r="10" ht="36" customHeight="1">
      <c r="A10" s="21" t="n">
        <v>7</v>
      </c>
      <c r="B10" s="22" t="inlineStr">
        <is>
          <t>Filter and search the Tasks list by status, priority and owner; pull to refresh.</t>
        </is>
      </c>
      <c r="C10" s="22" t="inlineStr">
        <is>
          <t>The list narrows correctly and refresh reloads current data.</t>
        </is>
      </c>
      <c r="D10" s="21" t="n"/>
      <c r="E10" s="22" t="inlineStr"/>
    </row>
    <row r="11" ht="44" customHeight="1">
      <c r="A11" s="21" t="n">
        <v>8</v>
      </c>
      <c r="B11" s="22" t="inlineStr">
        <is>
          <t>Try to select several tasks at once for a bulk status change or bulk delete.</t>
        </is>
      </c>
      <c r="C11" s="22" t="inlineStr">
        <is>
          <t>N/A — the mobile app has no multi-select/bulk actions on Tasks; each task is opened and changed one at a time.</t>
        </is>
      </c>
      <c r="D11" s="21" t="n"/>
      <c r="E11" s="22" t="inlineStr">
        <is>
          <t>Confirmed: tasks_screen.dart has no selection/checkbox UI, only single-record actions.</t>
        </is>
      </c>
    </row>
    <row r="12" ht="18" customHeight="1">
      <c r="A12" s="10" t="inlineStr"/>
      <c r="B12" s="18" t="inlineStr">
        <is>
          <t>B. FOLLOW-UPS</t>
        </is>
      </c>
      <c r="C12" s="19" t="n"/>
      <c r="D12" s="19" t="n"/>
      <c r="E12" s="20" t="n"/>
    </row>
    <row r="13" ht="47" customHeight="1">
      <c r="A13" s="21" t="n">
        <v>9</v>
      </c>
      <c r="B13" s="22" t="inlineStr">
        <is>
          <t>Create a follow-up against a lead/customer with a company, contact, kind (Call/Email/Meeting/Site visit), date and time.</t>
        </is>
      </c>
      <c r="C13" s="22" t="inlineStr">
        <is>
          <t>It saves and appears in the Follow-ups list, bucketed as due/overdue by its date.</t>
        </is>
      </c>
      <c r="D13" s="21" t="n"/>
      <c r="E13" s="22" t="inlineStr"/>
    </row>
    <row r="14" ht="43" customHeight="1">
      <c r="A14" s="21" t="n">
        <v>10</v>
      </c>
      <c r="B14" s="22" t="inlineStr">
        <is>
          <t>Try to save a follow-up with no date, then check its reminder note.</t>
        </is>
      </c>
      <c r="C14" s="22" t="inlineStr">
        <is>
          <t>The app shows 'Reminders need a due date' — a follow-up needs a due date before a reminder can attach to it.</t>
        </is>
      </c>
      <c r="D14" s="21" t="n"/>
      <c r="E14" s="22" t="inlineStr"/>
    </row>
    <row r="15" ht="42" customHeight="1">
      <c r="A15" s="21" t="n">
        <v>11</v>
      </c>
      <c r="B15" s="22" t="inlineStr">
        <is>
          <t>Open a follow-up and tap Reschedule; change only the time and save.</t>
        </is>
      </c>
      <c r="C15" s="22" t="inlineStr">
        <is>
          <t>The due date/time updates on the follow-up and its list bucket (overdue/due/done) updates accordingly.</t>
        </is>
      </c>
      <c r="D15" s="21" t="n"/>
      <c r="E15" s="22" t="inlineStr"/>
    </row>
    <row r="16" ht="40" customHeight="1">
      <c r="A16" s="21" t="n">
        <v>12</v>
      </c>
      <c r="B16" s="22" t="inlineStr">
        <is>
          <t>Try to save a reschedule with the date field cleared.</t>
        </is>
      </c>
      <c r="C16" s="22" t="inlineStr">
        <is>
          <t>Blocked — a date is required; the sheet does not accept clearing the date as a valid reschedule.</t>
        </is>
      </c>
      <c r="D16" s="21" t="n"/>
      <c r="E16" s="22" t="inlineStr"/>
    </row>
    <row r="17" ht="28" customHeight="1">
      <c r="A17" s="21" t="n">
        <v>13</v>
      </c>
      <c r="B17" s="22" t="inlineStr">
        <is>
          <t>Mark a follow-up done from its detail screen.</t>
        </is>
      </c>
      <c r="C17" s="22" t="inlineStr">
        <is>
          <t>It moves into the Done bucket.</t>
        </is>
      </c>
      <c r="D17" s="21" t="n"/>
      <c r="E17" s="22" t="inlineStr"/>
    </row>
    <row r="18" ht="37" customHeight="1">
      <c r="A18" s="21" t="n">
        <v>14</v>
      </c>
      <c r="B18" s="22" t="inlineStr">
        <is>
          <t>Filter the Follow-ups list by status (overdue/due/done) and by owner (mine vs all).</t>
        </is>
      </c>
      <c r="C18" s="22" t="inlineStr">
        <is>
          <t>The list updates to match the chosen filter.</t>
        </is>
      </c>
      <c r="D18" s="21" t="n"/>
      <c r="E18" s="22" t="inlineStr"/>
    </row>
    <row r="19" ht="18" customHeight="1">
      <c r="A19" s="10" t="inlineStr"/>
      <c r="B19" s="18" t="inlineStr">
        <is>
          <t>C. NOTES</t>
        </is>
      </c>
      <c r="C19" s="19" t="n"/>
      <c r="D19" s="19" t="n"/>
      <c r="E19" s="20" t="n"/>
    </row>
    <row r="20" ht="40" customHeight="1">
      <c r="A20" s="21" t="n">
        <v>15</v>
      </c>
      <c r="B20" s="22" t="inlineStr">
        <is>
          <t>Add a note to a lead or customer with some text.</t>
        </is>
      </c>
      <c r="C20" s="22" t="inlineStr">
        <is>
          <t>The note saves and appears at the top of that record's notes feed with the author and timestamp.</t>
        </is>
      </c>
      <c r="D20" s="21" t="n"/>
      <c r="E20" s="22" t="inlineStr"/>
    </row>
    <row r="21" ht="36" customHeight="1">
      <c r="A21" s="21" t="n">
        <v>16</v>
      </c>
      <c r="B21" s="22" t="inlineStr">
        <is>
          <t>Add a note together with a photo/file attachment in the same composer.</t>
        </is>
      </c>
      <c r="C21" s="22" t="inlineStr">
        <is>
          <t>The note saves first, then the attachment uploads against it and shows once done.</t>
        </is>
      </c>
      <c r="D21" s="21" t="n"/>
      <c r="E21" s="22" t="inlineStr"/>
    </row>
    <row r="22" ht="50" customHeight="1">
      <c r="A22" s="21" t="n">
        <v>17</v>
      </c>
      <c r="B22" s="22" t="inlineStr">
        <is>
          <t>Add a note with an attachment while offline or with a flaky connection, then check the note afterwards.</t>
        </is>
      </c>
      <c r="C22" s="22" t="inlineStr">
        <is>
          <t>The note text itself is not lost even if the attachment upload fails — the note still shows, without the failed file.</t>
        </is>
      </c>
      <c r="D22" s="21" t="n"/>
      <c r="E22" s="22" t="inlineStr">
        <is>
          <t>Verified in code: an upload failure keeps showing the note with the attachment that was attempted, it does not roll back the note.</t>
        </is>
      </c>
    </row>
    <row r="23" ht="38" customHeight="1">
      <c r="A23" s="21" t="n">
        <v>18</v>
      </c>
      <c r="B23" s="22" t="inlineStr">
        <is>
          <t>Look for a 'pin note to top' option.</t>
        </is>
      </c>
      <c r="C23" s="22" t="inlineStr">
        <is>
          <t>N/A — the mobile app has no pin/unpin action on notes; notes are ordered by recency only.</t>
        </is>
      </c>
      <c r="D23" s="21" t="n"/>
      <c r="E23" s="22" t="inlineStr">
        <is>
          <t>No pin field found on the note entity or notes provider.</t>
        </is>
      </c>
    </row>
    <row r="24" ht="18" customHeight="1">
      <c r="A24" s="10" t="inlineStr"/>
      <c r="B24" s="18" t="inlineStr">
        <is>
          <t>D. CALLS &amp; TELEPHONY</t>
        </is>
      </c>
      <c r="C24" s="19" t="n"/>
      <c r="D24" s="19" t="n"/>
      <c r="E24" s="20" t="n"/>
    </row>
    <row r="25" ht="50" customHeight="1">
      <c r="A25" s="21" t="n">
        <v>19</v>
      </c>
      <c r="B25" s="22" t="inlineStr">
        <is>
          <t>On a lead's detail screen, tap the Call button when the org HAS Exotel telephony connected and you are set up as a telephony agent.</t>
        </is>
      </c>
      <c r="C25" s="22" t="inlineStr">
        <is>
          <t>The call routes through Exotel: your own phone rings first, then bridges to the lead. The app does not use your phone's own dialler.</t>
        </is>
      </c>
      <c r="D25" s="21" t="n"/>
      <c r="E25" s="22" t="inlineStr"/>
    </row>
    <row r="26" ht="46" customHeight="1">
      <c r="A26" s="21" t="n">
        <v>20</v>
      </c>
      <c r="B26" s="22" t="inlineStr">
        <is>
          <t>Tap Call when Exotel is off, not configured, or you are not registered as a telephony agent.</t>
        </is>
      </c>
      <c r="C26" s="22" t="inlineStr">
        <is>
          <t>The app falls back to your phone's normal dialler, prefilled with the lead's number, and shows why Exotel wasn't used.</t>
        </is>
      </c>
      <c r="D26" s="21" t="n"/>
      <c r="E26" s="22" t="inlineStr"/>
    </row>
    <row r="27" ht="45" customHeight="1">
      <c r="A27" s="21" t="n">
        <v>21</v>
      </c>
      <c r="B27" s="22" t="inlineStr">
        <is>
          <t>Complete a call placed through the device dialler when your own profile has NO phone number saved.</t>
        </is>
      </c>
      <c r="C27" s="22" t="inlineStr">
        <is>
          <t>The call is dialled but a message explains it could not be logged, because your own number is required to log it.</t>
        </is>
      </c>
      <c r="D27" s="21" t="n"/>
      <c r="E27" s="22" t="inlineStr"/>
    </row>
    <row r="28" ht="54" customHeight="1">
      <c r="A28" s="21" t="n">
        <v>22</v>
      </c>
      <c r="B28" s="22" t="inlineStr">
        <is>
          <t>Use 'Log a call' to manually record a call that already happened: direction (incoming/outgoing), outcome (connected/no answer/missed) and duration.</t>
        </is>
      </c>
      <c r="C28" s="22" t="inlineStr">
        <is>
          <t>A call log entry is created and shows on the lead's call history with the right outcome and duration.</t>
        </is>
      </c>
      <c r="D28" s="21" t="n"/>
      <c r="E28" s="22" t="inlineStr"/>
    </row>
    <row r="29" ht="60" customHeight="1">
      <c r="A29" s="21" t="n">
        <v>23</v>
      </c>
      <c r="B29" s="22" t="inlineStr">
        <is>
          <t>Look for a notes/summary box on the manual 'Log a call' sheet.</t>
        </is>
      </c>
      <c r="C29" s="22" t="inlineStr">
        <is>
          <t>N/A by design — there is no notes field on manual call logging; call summaries only come from the server's own transcription and would be silently dropped if typed here.</t>
        </is>
      </c>
      <c r="D29" s="21" t="n"/>
      <c r="E29" s="22" t="inlineStr"/>
    </row>
    <row r="30" ht="36" customHeight="1">
      <c r="A30" s="21" t="n">
        <v>24</v>
      </c>
      <c r="B30" s="22" t="inlineStr">
        <is>
          <t>Open the call history on a lead where a call was recorded and transcribed.</t>
        </is>
      </c>
      <c r="C30" s="22" t="inlineStr">
        <is>
          <t>The recording and an AI/manual summary appear once the backend has processed them.</t>
        </is>
      </c>
      <c r="D30" s="21" t="n"/>
      <c r="E30" s="22" t="inlineStr"/>
    </row>
    <row r="31" ht="18" customHeight="1">
      <c r="A31" s="10" t="inlineStr"/>
      <c r="B31" s="18" t="inlineStr">
        <is>
          <t>E. HELPDESK — RAISE &amp; WORK A TICKET</t>
        </is>
      </c>
      <c r="C31" s="19" t="n"/>
      <c r="D31" s="19" t="n"/>
      <c r="E31" s="20" t="n"/>
    </row>
    <row r="32" ht="49" customHeight="1">
      <c r="A32" s="21" t="n">
        <v>25</v>
      </c>
      <c r="B32" s="22" t="inlineStr">
        <is>
          <t>Create a ticket with a subject, customer, channel (Phone/Email/WhatsApp/Walk-in), type and priority (Critical/High/Medium/Low).</t>
        </is>
      </c>
      <c r="C32" s="22" t="inlineStr">
        <is>
          <t>Saved with all fields; it appears in the Tickets list.</t>
        </is>
      </c>
      <c r="D32" s="21" t="n"/>
      <c r="E32" s="22" t="inlineStr"/>
    </row>
    <row r="33" ht="31" customHeight="1">
      <c r="A33" s="21" t="n">
        <v>26</v>
      </c>
      <c r="B33" s="22" t="inlineStr">
        <is>
          <t>Try to create a ticket with no subject or no customer selected.</t>
        </is>
      </c>
      <c r="C33" s="22" t="inlineStr">
        <is>
          <t>Blocked until both required fields are filled.</t>
        </is>
      </c>
      <c r="D33" s="21" t="n"/>
      <c r="E33" s="22" t="inlineStr"/>
    </row>
    <row r="34" ht="32" customHeight="1">
      <c r="A34" s="21" t="n">
        <v>27</v>
      </c>
      <c r="B34" s="22" t="inlineStr">
        <is>
          <t>Open a ticket and change its assignee(s) from the assignee sheet.</t>
        </is>
      </c>
      <c r="C34" s="22" t="inlineStr">
        <is>
          <t>The assignee avatars update on the summary card.</t>
        </is>
      </c>
      <c r="D34" s="21" t="n"/>
      <c r="E34" s="22" t="inlineStr"/>
    </row>
    <row r="35" ht="37" customHeight="1">
      <c r="A35" s="21" t="n">
        <v>28</v>
      </c>
      <c r="B35" s="22" t="inlineStr">
        <is>
          <t>Look for an option to assign a ticket to a whole TEAM rather than individual agents.</t>
        </is>
      </c>
      <c r="C35" s="22" t="inlineStr">
        <is>
          <t>N/A — the mobile app only assigns tickets to individual people, not teams.</t>
        </is>
      </c>
      <c r="D35" s="21" t="n"/>
      <c r="E35" s="22" t="inlineStr"/>
    </row>
    <row r="36" ht="36" customHeight="1">
      <c r="A36" s="21" t="n">
        <v>29</v>
      </c>
      <c r="B36" s="22" t="inlineStr">
        <is>
          <t>Open a ticket and change its status via the status chip.</t>
        </is>
      </c>
      <c r="C36" s="22" t="inlineStr">
        <is>
          <t>The status updates immediately (optimistically) and is reflected across the app.</t>
        </is>
      </c>
      <c r="D36" s="21" t="n"/>
      <c r="E36" s="22" t="inlineStr"/>
    </row>
    <row r="37" ht="49" customHeight="1">
      <c r="A37" s="21" t="n">
        <v>30</v>
      </c>
      <c r="B37" s="22" t="inlineStr">
        <is>
          <t>Try to edit fields on a ticket that is Closed.</t>
        </is>
      </c>
      <c r="C37" s="22" t="inlineStr">
        <is>
          <t>Fields are locked with a clear 'This ticket is closed — reopen to edit' message; status stays changeable so it can be reopened.</t>
        </is>
      </c>
      <c r="D37" s="21" t="n"/>
      <c r="E37" s="22" t="inlineStr"/>
    </row>
    <row r="38" ht="40" customHeight="1">
      <c r="A38" s="21" t="n">
        <v>31</v>
      </c>
      <c r="B38" s="22" t="inlineStr">
        <is>
          <t>From an open ticket, create a linked task.</t>
        </is>
      </c>
      <c r="C38" s="22" t="inlineStr">
        <is>
          <t>A task is created and shown under 'Linked tasks'; tapping it opens the same task in Operations.</t>
        </is>
      </c>
      <c r="D38" s="21" t="n"/>
      <c r="E38" s="22" t="inlineStr"/>
    </row>
    <row r="39" ht="30" customHeight="1">
      <c r="A39" s="21" t="n">
        <v>32</v>
      </c>
      <c r="B39" s="22" t="inlineStr">
        <is>
          <t>Try to create a linked task on a Closed ticket.</t>
        </is>
      </c>
      <c r="C39" s="22" t="inlineStr">
        <is>
          <t>Blocked with 'Locked — reopen the ticket to create tasks'.</t>
        </is>
      </c>
      <c r="D39" s="21" t="n"/>
      <c r="E39" s="22" t="inlineStr"/>
    </row>
    <row r="40" ht="49" customHeight="1">
      <c r="A40" s="21" t="n">
        <v>33</v>
      </c>
      <c r="B40" s="22" t="inlineStr">
        <is>
          <t>Look for a true parent-ticket / child-ticket structure (one ticket containing several sub-tickets).</t>
        </is>
      </c>
      <c r="C40" s="22" t="inlineStr">
        <is>
          <t>N/A — the mobile app (like the web app) only supports a single linked Operations task per ticket, not real parent/child tickets.</t>
        </is>
      </c>
      <c r="D40" s="21" t="n"/>
      <c r="E40" s="22" t="inlineStr">
        <is>
          <t>Confirmed in the Ticket entity: a single taskId/linked-tasks list, no parentId or childIds.</t>
        </is>
      </c>
    </row>
    <row r="41" ht="18" customHeight="1">
      <c r="A41" s="10" t="inlineStr"/>
      <c r="B41" s="18" t="inlineStr">
        <is>
          <t>F. HELPDESK — SLA</t>
        </is>
      </c>
      <c r="C41" s="19" t="n"/>
      <c r="D41" s="19" t="n"/>
      <c r="E41" s="20" t="n"/>
    </row>
    <row r="42" ht="45" customHeight="1">
      <c r="A42" s="21" t="n">
        <v>34</v>
      </c>
      <c r="B42" s="22" t="inlineStr">
        <is>
          <t>Raise a ticket and check the SLA chip on its card in the list.</t>
        </is>
      </c>
      <c r="C42" s="22" t="inlineStr">
        <is>
          <t>It shows 'Respond by …' or 'Resolve by …' counting down to the deadline computed from the customer/priority SLA.</t>
        </is>
      </c>
      <c r="D42" s="21" t="n"/>
      <c r="E42" s="22" t="inlineStr"/>
    </row>
    <row r="43" ht="35" customHeight="1">
      <c r="A43" s="21" t="n">
        <v>35</v>
      </c>
      <c r="B43" s="22" t="inlineStr">
        <is>
          <t>Let a ticket's response or resolution deadline pass without acting on it.</t>
        </is>
      </c>
      <c r="C43" s="22" t="inlineStr">
        <is>
          <t>The chip switches to 'Overdue' in red, showing how far past the deadline it is.</t>
        </is>
      </c>
      <c r="D43" s="21" t="n"/>
      <c r="E43" s="22" t="inlineStr"/>
    </row>
    <row r="44" ht="36" customHeight="1">
      <c r="A44" s="21" t="n">
        <v>36</v>
      </c>
      <c r="B44" s="22" t="inlineStr">
        <is>
          <t>Put a ticket On Hold (Pending status).</t>
        </is>
      </c>
      <c r="C44" s="22" t="inlineStr">
        <is>
          <t>The SLA chip shows 'Paused' and does not count down while the ticket is pending.</t>
        </is>
      </c>
      <c r="D44" s="21" t="n"/>
      <c r="E44" s="22" t="inlineStr"/>
    </row>
    <row r="45" ht="35" customHeight="1">
      <c r="A45" s="21" t="n">
        <v>37</v>
      </c>
      <c r="B45" s="22" t="inlineStr">
        <is>
          <t>Take the ticket back off hold.</t>
        </is>
      </c>
      <c r="C45" s="22" t="inlineStr">
        <is>
          <t>The SLA clock resumes rather than keeping the paused time against the ticket.</t>
        </is>
      </c>
      <c r="D45" s="21" t="n"/>
      <c r="E45" s="22" t="inlineStr"/>
    </row>
    <row r="46" ht="42" customHeight="1">
      <c r="A46" s="21" t="n">
        <v>38</v>
      </c>
      <c r="B46" s="22" t="inlineStr">
        <is>
          <t>Mark a ticket Resolved before its deadline, then check it again after the deadline would have passed.</t>
        </is>
      </c>
      <c r="C46" s="22" t="inlineStr">
        <is>
          <t>It reads 'Resolved' and does not turn into an overdue state after the fact.</t>
        </is>
      </c>
      <c r="D46" s="21" t="n"/>
      <c r="E46" s="22" t="inlineStr"/>
    </row>
    <row r="47" ht="46" customHeight="1">
      <c r="A47" s="21" t="n">
        <v>39</v>
      </c>
      <c r="B47" s="22" t="inlineStr">
        <is>
          <t>Open the Support Overview board and check the SLA-watch groupings (breaching soon / due today / on track / breached).</t>
        </is>
      </c>
      <c r="C47" s="22" t="inlineStr">
        <is>
          <t>Tickets sort into the correct bucket based on their live time-to-deadline.</t>
        </is>
      </c>
      <c r="D47" s="21" t="n"/>
      <c r="E47" s="22" t="inlineStr"/>
    </row>
    <row r="48" ht="18" customHeight="1">
      <c r="A48" s="10" t="inlineStr"/>
      <c r="B48" s="18" t="inlineStr">
        <is>
          <t>G. HELPDESK — LISTS, BULK &amp; DASHBOARD</t>
        </is>
      </c>
      <c r="C48" s="19" t="n"/>
      <c r="D48" s="19" t="n"/>
      <c r="E48" s="20" t="n"/>
    </row>
    <row r="49" ht="32" customHeight="1">
      <c r="A49" s="21" t="n">
        <v>40</v>
      </c>
      <c r="B49" s="22" t="inlineStr">
        <is>
          <t>Filter tickets by status, priority and assignee; search by subject.</t>
        </is>
      </c>
      <c r="C49" s="22" t="inlineStr">
        <is>
          <t>The list updates correctly for each filter and search term.</t>
        </is>
      </c>
      <c r="D49" s="21" t="n"/>
      <c r="E49" s="22" t="inlineStr"/>
    </row>
    <row r="50" ht="42" customHeight="1">
      <c r="A50" s="21" t="n">
        <v>41</v>
      </c>
      <c r="B50" s="22" t="inlineStr">
        <is>
          <t>Try to select several tickets to bulk-assign, bulk change status/priority, or bulk delete.</t>
        </is>
      </c>
      <c r="C50" s="22" t="inlineStr">
        <is>
          <t>N/A — the mobile app has no multi-select/bulk actions on tickets; each ticket is changed one at a time.</t>
        </is>
      </c>
      <c r="D50" s="21" t="n"/>
      <c r="E50" s="22" t="inlineStr">
        <is>
          <t>Confirmed: tickets_screen.dart has no selection UI, only filter chips.</t>
        </is>
      </c>
    </row>
    <row r="51" ht="42" customHeight="1">
      <c r="A51" s="21" t="n">
        <v>42</v>
      </c>
      <c r="B51" s="22" t="inlineStr">
        <is>
          <t>Open the Helpdesk home dashboard.</t>
        </is>
      </c>
      <c r="C51" s="22" t="inlineStr">
        <is>
          <t>It shows open tickets, SLA breaches, average resolution and first-response figures with trend arrows.</t>
        </is>
      </c>
      <c r="D51" s="21" t="n"/>
      <c r="E51" s="22" t="inlineStr"/>
    </row>
    <row r="52" ht="44" customHeight="1">
      <c r="A52" s="21" t="n">
        <v>43</v>
      </c>
      <c r="B52" s="22" t="inlineStr">
        <is>
          <t>Open the Support Overview board (read-only SLA monitor).</t>
        </is>
      </c>
      <c r="C52" s="22" t="inlineStr">
        <is>
          <t>It shows a live-updating stat strip and the four SLA-watch groups, with a note of when it was last refreshed.</t>
        </is>
      </c>
      <c r="D52" s="21" t="n"/>
      <c r="E52" s="22" t="inlineStr"/>
    </row>
    <row r="53" ht="38" customHeight="1">
      <c r="A53" s="21" t="n">
        <v>44</v>
      </c>
      <c r="B53" s="22" t="inlineStr">
        <is>
          <t>Open the Helpdesk dashboard as a user without dashboard permission.</t>
        </is>
      </c>
      <c r="C53" s="22" t="inlineStr">
        <is>
          <t>The KPI figures are simply unavailable (blank/omitted) rather than the screen crashing.</t>
        </is>
      </c>
      <c r="D53" s="21" t="n"/>
      <c r="E53" s="22" t="inlineStr"/>
    </row>
  </sheetData>
  <mergeCells count="8">
    <mergeCell ref="B31:E31"/>
    <mergeCell ref="B41:E41"/>
    <mergeCell ref="B12:E12"/>
    <mergeCell ref="B48:E48"/>
    <mergeCell ref="A1:E1"/>
    <mergeCell ref="B3:E3"/>
    <mergeCell ref="B19:E19"/>
    <mergeCell ref="B24:E24"/>
  </mergeCells>
  <dataValidations count="1">
    <dataValidation sqref="D4 D5 D6 D7 D8 D9 D10 D11 D13 D14 D15 D16 D17 D18 D20 D21 D22 D23 D25 D26 D27 D28 D29 D30 D32 D33 D34 D35 D36 D37 D38 D39 D40 D42 D43 D44 D45 D46 D47 D49 D50 D51 D52 D53" showDropDown="0" showInputMessage="0" showErrorMessage="0" allowBlank="1" type="list">
      <formula1>"Pass,Fail,Blocked,N/A,Not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Projects &amp; Operations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PROJECTS LIST &amp; CREATE</t>
        </is>
      </c>
      <c r="C3" s="19" t="n"/>
      <c r="D3" s="19" t="n"/>
      <c r="E3" s="20" t="n"/>
    </row>
    <row r="4" ht="38" customHeight="1">
      <c r="A4" s="21" t="n">
        <v>1</v>
      </c>
      <c r="B4" s="22" t="inlineStr">
        <is>
          <t>Open Operations &gt; Projects and pull to refresh the list.</t>
        </is>
      </c>
      <c r="C4" s="22" t="inlineStr">
        <is>
          <t>Projects load with name, status, priority and progress bar; the list refreshes cleanly.</t>
        </is>
      </c>
      <c r="D4" s="21" t="n"/>
      <c r="E4" s="22" t="inlineStr"/>
    </row>
    <row r="5" ht="68" customHeight="1">
      <c r="A5" s="21" t="n">
        <v>2</v>
      </c>
      <c r="B5" s="22" t="inlineStr">
        <is>
          <t>Tap + and create a project with name, type, priority, start/end dates, manager, one or more team members, a linked customer (or leave it internal), estimated cost, visibility and progress method.</t>
        </is>
      </c>
      <c r="C5" s="22" t="inlineStr">
        <is>
          <t>All thirteen fields save and show correctly when you reopen the project.</t>
        </is>
      </c>
      <c r="D5" s="21" t="n"/>
      <c r="E5" s="22" t="inlineStr"/>
    </row>
    <row r="6" ht="58" customHeight="1">
      <c r="A6" s="21" t="n">
        <v>3</v>
      </c>
      <c r="B6" s="22" t="inlineStr">
        <is>
          <t>Create a second active project using the exact same name.</t>
        </is>
      </c>
      <c r="C6" s="22" t="inlineStr">
        <is>
          <t>The app should stop you with a clear duplicate-name message.</t>
        </is>
      </c>
      <c r="D6" s="21" t="n"/>
      <c r="E6" s="22" t="inlineStr">
        <is>
          <t>Confirm on device — the create form does not visibly validate this client-side; it depends on the server rejecting the duplicate and the error surfacing readably.</t>
        </is>
      </c>
    </row>
    <row r="7" ht="35" customHeight="1">
      <c r="A7" s="21" t="n">
        <v>4</v>
      </c>
      <c r="B7" s="22" t="inlineStr">
        <is>
          <t>Create a project and leave the customer field blank.</t>
        </is>
      </c>
      <c r="C7" s="22" t="inlineStr">
        <is>
          <t>The project saves as an internal project (no customer) rather than erroring.</t>
        </is>
      </c>
      <c r="D7" s="21" t="n"/>
      <c r="E7" s="22" t="inlineStr"/>
    </row>
    <row r="8" ht="30" customHeight="1">
      <c r="A8" s="21" t="n">
        <v>5</v>
      </c>
      <c r="B8" s="22" t="inlineStr">
        <is>
          <t>Filter the project list and switch between the status tabs.</t>
        </is>
      </c>
      <c r="C8" s="22" t="inlineStr">
        <is>
          <t>The list narrows correctly for each filter/status.</t>
        </is>
      </c>
      <c r="D8" s="21" t="n"/>
      <c r="E8" s="22" t="inlineStr"/>
    </row>
    <row r="9" ht="28" customHeight="1">
      <c r="A9" s="21" t="n">
        <v>6</v>
      </c>
      <c r="B9" s="22" t="inlineStr">
        <is>
          <t>Search projects by name.</t>
        </is>
      </c>
      <c r="C9" s="22" t="inlineStr">
        <is>
          <t>Matching projects appear as you type.</t>
        </is>
      </c>
      <c r="D9" s="21" t="n"/>
      <c r="E9" s="22" t="inlineStr"/>
    </row>
    <row r="10" ht="18" customHeight="1">
      <c r="A10" s="10" t="inlineStr"/>
      <c r="B10" s="18" t="inlineStr">
        <is>
          <t>B. PROJECT DETAIL &amp; LIFECYCLE</t>
        </is>
      </c>
      <c r="C10" s="19" t="n"/>
      <c r="D10" s="19" t="n"/>
      <c r="E10" s="20" t="n"/>
    </row>
    <row r="11" ht="49" customHeight="1">
      <c r="A11" s="21" t="n">
        <v>7</v>
      </c>
      <c r="B11" s="22" t="inlineStr">
        <is>
          <t>Open a project and check the Details tab (status, priority, dates, manager, team, customer, cost, visibility, progress method).</t>
        </is>
      </c>
      <c r="C11" s="22" t="inlineStr">
        <is>
          <t>Every value set at creation is shown accurately.</t>
        </is>
      </c>
      <c r="D11" s="21" t="n"/>
      <c r="E11" s="22" t="inlineStr"/>
    </row>
    <row r="12" ht="34" customHeight="1">
      <c r="A12" s="21" t="n">
        <v>8</v>
      </c>
      <c r="B12" s="22" t="inlineStr">
        <is>
          <t>Edit an existing project's dates, manager, assignees and cost, then save.</t>
        </is>
      </c>
      <c r="C12" s="22" t="inlineStr">
        <is>
          <t>Changes persist and show immediately on the detail screen.</t>
        </is>
      </c>
      <c r="D12" s="21" t="n"/>
      <c r="E12" s="22" t="inlineStr"/>
    </row>
    <row r="13" ht="31" customHeight="1">
      <c r="A13" s="21" t="n">
        <v>9</v>
      </c>
      <c r="B13" s="22" t="inlineStr">
        <is>
          <t>Set a project's expected end date in the past and leave it open.</t>
        </is>
      </c>
      <c r="C13" s="22" t="inlineStr">
        <is>
          <t>The project is shown as overdue.</t>
        </is>
      </c>
      <c r="D13" s="21" t="n"/>
      <c r="E13" s="22" t="inlineStr"/>
    </row>
    <row r="14" ht="40" customHeight="1">
      <c r="A14" s="21" t="n">
        <v>10</v>
      </c>
      <c r="B14" s="22" t="inlineStr">
        <is>
          <t>Archive a project from its menu, then check it disappears from the default list.</t>
        </is>
      </c>
      <c r="C14" s="22" t="inlineStr">
        <is>
          <t>The project is hidden from the normal list once archived; the menu now offers 'Restore project'.</t>
        </is>
      </c>
      <c r="D14" s="21" t="n"/>
      <c r="E14" s="22" t="inlineStr"/>
    </row>
    <row r="15" ht="28" customHeight="1">
      <c r="A15" s="21" t="n">
        <v>11</v>
      </c>
      <c r="B15" s="22" t="inlineStr">
        <is>
          <t>Restore an archived project.</t>
        </is>
      </c>
      <c r="C15" s="22" t="inlineStr">
        <is>
          <t>It reappears in the normal project list.</t>
        </is>
      </c>
      <c r="D15" s="21" t="n"/>
      <c r="E15" s="22" t="inlineStr"/>
    </row>
    <row r="16" ht="33" customHeight="1">
      <c r="A16" s="21" t="n">
        <v>12</v>
      </c>
      <c r="B16" s="22" t="inlineStr">
        <is>
          <t>Try to edit a completed or cancelled project.</t>
        </is>
      </c>
      <c r="C16" s="22" t="inlineStr">
        <is>
          <t>The project is treated as read-only/locked once completed or cancelled.</t>
        </is>
      </c>
      <c r="D16" s="21" t="n"/>
      <c r="E16" s="22" t="inlineStr"/>
    </row>
    <row r="17" ht="18" customHeight="1">
      <c r="A17" s="10" t="inlineStr"/>
      <c r="B17" s="18" t="inlineStr">
        <is>
          <t>C. PROGRESS CALCULATION</t>
        </is>
      </c>
      <c r="C17" s="19" t="n"/>
      <c r="D17" s="19" t="n"/>
      <c r="E17" s="20" t="n"/>
    </row>
    <row r="18" ht="35" customHeight="1">
      <c r="A18" s="21" t="n">
        <v>13</v>
      </c>
      <c r="B18" s="22" t="inlineStr">
        <is>
          <t>Set a project's progress method to Task-based, then complete some of its tasks.</t>
        </is>
      </c>
      <c r="C18" s="22" t="inlineStr">
        <is>
          <t>The project's progress bar climbs as tasks are completed.</t>
        </is>
      </c>
      <c r="D18" s="21" t="n"/>
      <c r="E18" s="22" t="inlineStr"/>
    </row>
    <row r="19" ht="37" customHeight="1">
      <c r="A19" s="21" t="n">
        <v>14</v>
      </c>
      <c r="B19" s="22" t="inlineStr">
        <is>
          <t>Set a project's progress method to Manual and type a percentage.</t>
        </is>
      </c>
      <c r="C19" s="22" t="inlineStr">
        <is>
          <t>The percentage you typed is what shows — it is not silently recalculated from tasks.</t>
        </is>
      </c>
      <c r="D19" s="21" t="n"/>
      <c r="E19" s="22" t="inlineStr"/>
    </row>
    <row r="20" ht="36" customHeight="1">
      <c r="A20" s="21" t="n">
        <v>15</v>
      </c>
      <c r="B20" s="22" t="inlineStr">
        <is>
          <t>On a Task-based project, open a task with sub-tasks and complete some sub-tasks.</t>
        </is>
      </c>
      <c r="C20" s="22" t="inlineStr">
        <is>
          <t>The task's own progress bar reflects the share of completed sub-tasks.</t>
        </is>
      </c>
      <c r="D20" s="21" t="n"/>
      <c r="E20" s="22" t="inlineStr"/>
    </row>
    <row r="21" ht="18" customHeight="1">
      <c r="A21" s="10" t="inlineStr"/>
      <c r="B21" s="18" t="inlineStr">
        <is>
          <t>D. TASKS &amp; SUB-TASKS</t>
        </is>
      </c>
      <c r="C21" s="19" t="n"/>
      <c r="D21" s="19" t="n"/>
      <c r="E21" s="20" t="n"/>
    </row>
    <row r="22" ht="59" customHeight="1">
      <c r="A22" s="21" t="n">
        <v>16</v>
      </c>
      <c r="B22" s="22" t="inlineStr">
        <is>
          <t>Open Operations &gt; Tasks (or a project's Tasks tab) and create a task with subject, priority, status, project, lane/group, dates and times, expected hours and weight.</t>
        </is>
      </c>
      <c r="C22" s="22" t="inlineStr">
        <is>
          <t>All fields save and appear correctly on the task detail screen.</t>
        </is>
      </c>
      <c r="D22" s="21" t="n"/>
      <c r="E22" s="22" t="inlineStr"/>
    </row>
    <row r="23" ht="37" customHeight="1">
      <c r="A23" s="21" t="n">
        <v>17</v>
      </c>
      <c r="B23" s="22" t="inlineStr">
        <is>
          <t>Add several team members as assignees on one task (tap more than one assignee chip).</t>
        </is>
      </c>
      <c r="C23" s="22" t="inlineStr">
        <is>
          <t>All selected assignees save together on the task.</t>
        </is>
      </c>
      <c r="D23" s="21" t="n"/>
      <c r="E23" s="22" t="inlineStr"/>
    </row>
    <row r="24" ht="33" customHeight="1">
      <c r="A24" s="21" t="n">
        <v>18</v>
      </c>
      <c r="B24" s="22" t="inlineStr">
        <is>
          <t>Open a task and add a sub-task by typing into the '+ Add subtask' box.</t>
        </is>
      </c>
      <c r="C24" s="22" t="inlineStr">
        <is>
          <t>The sub-task is added to the checklist immediately.</t>
        </is>
      </c>
      <c r="D24" s="21" t="n"/>
      <c r="E24" s="22" t="inlineStr"/>
    </row>
    <row r="25" ht="30" customHeight="1">
      <c r="A25" s="21" t="n">
        <v>19</v>
      </c>
      <c r="B25" s="22" t="inlineStr">
        <is>
          <t>Tick a sub-task complete, then untick it.</t>
        </is>
      </c>
      <c r="C25" s="22" t="inlineStr">
        <is>
          <t>The tick state saves both ways and the done-count updates.</t>
        </is>
      </c>
      <c r="D25" s="21" t="n"/>
      <c r="E25" s="22" t="inlineStr"/>
    </row>
    <row r="26" ht="28" customHeight="1">
      <c r="A26" s="21" t="n">
        <v>20</v>
      </c>
      <c r="B26" s="22" t="inlineStr">
        <is>
          <t>Tap into a sub-task to open its own detail screen.</t>
        </is>
      </c>
      <c r="C26" s="22" t="inlineStr">
        <is>
          <t>The sub-task detail opens correctly.</t>
        </is>
      </c>
      <c r="D26" s="21" t="n"/>
      <c r="E26" s="22" t="inlineStr"/>
    </row>
    <row r="27" ht="40" customHeight="1">
      <c r="A27" s="21" t="n">
        <v>21</v>
      </c>
      <c r="B27" s="22" t="inlineStr">
        <is>
          <t>Try to tick the last open sub-task of a task while that task still has an unresolved dependency.</t>
        </is>
      </c>
      <c r="C27" s="22" t="inlineStr">
        <is>
          <t>The app refuses the tick with a clear message rather than silently failing.</t>
        </is>
      </c>
      <c r="D27" s="21" t="n"/>
      <c r="E27" s="22" t="inlineStr"/>
    </row>
    <row r="28" ht="18" customHeight="1">
      <c r="A28" s="10" t="inlineStr"/>
      <c r="B28" s="18" t="inlineStr">
        <is>
          <t>E. DEPENDENCIES</t>
        </is>
      </c>
      <c r="C28" s="19" t="n"/>
      <c r="D28" s="19" t="n"/>
      <c r="E28" s="20" t="n"/>
    </row>
    <row r="29" ht="35" customHeight="1">
      <c r="A29" s="21" t="n">
        <v>22</v>
      </c>
      <c r="B29" s="22" t="inlineStr">
        <is>
          <t>On a task, open Dependencies and add another task from this org as a blocker.</t>
        </is>
      </c>
      <c r="C29" s="22" t="inlineStr">
        <is>
          <t>The dependency is added and shown as a chip naming the blocking task.</t>
        </is>
      </c>
      <c r="D29" s="21" t="n"/>
      <c r="E29" s="22" t="inlineStr"/>
    </row>
    <row r="30" ht="31" customHeight="1">
      <c r="A30" s="21" t="n">
        <v>23</v>
      </c>
      <c r="B30" s="22" t="inlineStr">
        <is>
          <t>Try to complete a task while a task it depends on is still open.</t>
        </is>
      </c>
      <c r="C30" s="22" t="inlineStr">
        <is>
          <t>Blocked, naming the blocking task.</t>
        </is>
      </c>
      <c r="D30" s="21" t="n"/>
      <c r="E30" s="22" t="inlineStr"/>
    </row>
    <row r="31" ht="32" customHeight="1">
      <c r="A31" s="21" t="n">
        <v>24</v>
      </c>
      <c r="B31" s="22" t="inlineStr">
        <is>
          <t>Remove a dependency chip (✕).</t>
        </is>
      </c>
      <c r="C31" s="22" t="inlineStr">
        <is>
          <t>The dependency is removed and completion is no longer blocked by it.</t>
        </is>
      </c>
      <c r="D31" s="21" t="n"/>
      <c r="E31" s="22" t="inlineStr"/>
    </row>
    <row r="32" ht="35" customHeight="1">
      <c r="A32" s="21" t="n">
        <v>25</v>
      </c>
      <c r="B32" s="22" t="inlineStr">
        <is>
          <t>Try to delete a task that another task depends on, or one with open sub-tasks.</t>
        </is>
      </c>
      <c r="C32" s="22" t="inlineStr">
        <is>
          <t>Deletion is blocked with a message to resolve sub-tasks/dependencies first.</t>
        </is>
      </c>
      <c r="D32" s="21" t="n"/>
      <c r="E32" s="22" t="inlineStr"/>
    </row>
    <row r="33" ht="18" customHeight="1">
      <c r="A33" s="10" t="inlineStr"/>
      <c r="B33" s="18" t="inlineStr">
        <is>
          <t>F. COLLABORATION</t>
        </is>
      </c>
      <c r="C33" s="19" t="n"/>
      <c r="D33" s="19" t="n"/>
      <c r="E33" s="20" t="n"/>
    </row>
    <row r="34" ht="34" customHeight="1">
      <c r="A34" s="21" t="n">
        <v>26</v>
      </c>
      <c r="B34" s="22" t="inlineStr">
        <is>
          <t>Add a comment to a task and to a project.</t>
        </is>
      </c>
      <c r="C34" s="22" t="inlineStr">
        <is>
          <t>Each comment saves and appears in that record's own thread, newest first.</t>
        </is>
      </c>
      <c r="D34" s="21" t="n"/>
      <c r="E34" s="22" t="inlineStr"/>
    </row>
    <row r="35" ht="34" customHeight="1">
      <c r="A35" s="21" t="n">
        <v>27</v>
      </c>
      <c r="B35" s="22" t="inlineStr">
        <is>
          <t>Attach a file to a project from the Files tab.</t>
        </is>
      </c>
      <c r="C35" s="22" t="inlineStr">
        <is>
          <t>The file uploads and appears in the file list; tapping it opens the file.</t>
        </is>
      </c>
      <c r="D35" s="21" t="n"/>
      <c r="E35" s="22" t="inlineStr"/>
    </row>
    <row r="36" ht="32" customHeight="1">
      <c r="A36" s="21" t="n">
        <v>28</v>
      </c>
      <c r="B36" s="22" t="inlineStr">
        <is>
          <t>Open a project with no files attached.</t>
        </is>
      </c>
      <c r="C36" s="22" t="inlineStr">
        <is>
          <t>A clear 'No files attached' message is shown, not a blank screen.</t>
        </is>
      </c>
      <c r="D36" s="21" t="n"/>
      <c r="E36" s="22" t="inlineStr"/>
    </row>
    <row r="37" ht="18" customHeight="1">
      <c r="A37" s="10" t="inlineStr"/>
      <c r="B37" s="18" t="inlineStr">
        <is>
          <t>G. GAPS VS THE WEB APP (verify on device, do not assume fixed)</t>
        </is>
      </c>
      <c r="C37" s="19" t="n"/>
      <c r="D37" s="19" t="n"/>
      <c r="E37" s="20" t="n"/>
    </row>
    <row r="38" ht="48" customHeight="1">
      <c r="A38" s="21" t="n">
        <v>29</v>
      </c>
      <c r="B38" s="22" t="inlineStr">
        <is>
          <t>Look for a bulk-select mode on the Projects and Tasks lists (checkboxes to bulk assign/change status/delete several at once).</t>
        </is>
      </c>
      <c r="C38" s="22" t="inlineStr">
        <is>
          <t>No bulk-action mode is offered on mobile — this is a web-only capability; each project/task is updated one at a time.</t>
        </is>
      </c>
      <c r="D38" s="21" t="n"/>
      <c r="E38" s="22" t="inlineStr">
        <is>
          <t>Not found wired in the mobile screens; confirm on-device and log as a known parity gap rather than a bug if absent.</t>
        </is>
      </c>
    </row>
    <row r="39" ht="40" customHeight="1">
      <c r="A39" s="21" t="n">
        <v>30</v>
      </c>
      <c r="B39" s="22" t="inlineStr">
        <is>
          <t>Look for an import option for projects/tasks (uploading a spreadsheet).</t>
        </is>
      </c>
      <c r="C39" s="22" t="inlineStr">
        <is>
          <t>No bulk import is offered on mobile.</t>
        </is>
      </c>
      <c r="D39" s="21" t="n"/>
      <c r="E39" s="22" t="inlineStr">
        <is>
          <t>Web-only capability per the reference checklist; confirm absence rather than treat as a defect.</t>
        </is>
      </c>
    </row>
    <row r="40" ht="55" customHeight="1">
      <c r="A40" s="21" t="n">
        <v>31</v>
      </c>
      <c r="B40" s="22" t="inlineStr">
        <is>
          <t>Look for project-level settings (task/project status builder, default view/priority/visibility rules, templates).</t>
        </is>
      </c>
      <c r="C40" s="22" t="inlineStr">
        <is>
          <t>These admin configuration screens are not part of the mobile app — project and task statuses are set up on the web/admin side and simply consumed here.</t>
        </is>
      </c>
      <c r="D40" s="21" t="n"/>
      <c r="E40" s="22" t="inlineStr"/>
    </row>
  </sheetData>
  <mergeCells count="8">
    <mergeCell ref="B17:E17"/>
    <mergeCell ref="B21:E21"/>
    <mergeCell ref="B33:E33"/>
    <mergeCell ref="A1:E1"/>
    <mergeCell ref="B3:E3"/>
    <mergeCell ref="B37:E37"/>
    <mergeCell ref="B10:E10"/>
    <mergeCell ref="B28:E28"/>
  </mergeCells>
  <dataValidations count="1">
    <dataValidation sqref="D4 D5 D6 D7 D8 D9 D11 D12 D13 D14 D15 D16 D18 D19 D20 D22 D23 D24 D25 D26 D27 D29 D30 D31 D32 D34 D35 D36 D38 D39 D40" showDropDown="0" showInputMessage="0" showErrorMessage="0" allowBlank="1" type="list">
      <formula1>"Pass,Fail,Blocked,N/A,Not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Messages - Chat &amp; WhatsApp</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CONVERSATION LIST</t>
        </is>
      </c>
      <c r="C3" s="19" t="n"/>
      <c r="D3" s="19" t="n"/>
      <c r="E3" s="20" t="n"/>
    </row>
    <row r="4" ht="52" customHeight="1">
      <c r="A4" s="21" t="n">
        <v>1</v>
      </c>
      <c r="B4" s="22" t="inlineStr">
        <is>
          <t>Open Messages.</t>
        </is>
      </c>
      <c r="C4" s="22" t="inlineStr">
        <is>
          <t>The conversation list loads: avatar with online dot, name, company, last message time, unread badge and a 24-hour window chip on each row.</t>
        </is>
      </c>
      <c r="D4" s="21" t="n"/>
      <c r="E4" s="22" t="inlineStr"/>
    </row>
    <row r="5" ht="28" customHeight="1">
      <c r="A5" s="21" t="n">
        <v>2</v>
      </c>
      <c r="B5" s="22" t="inlineStr">
        <is>
          <t>Search conversations by name or company.</t>
        </is>
      </c>
      <c r="C5" s="22" t="inlineStr">
        <is>
          <t>The list filters live.</t>
        </is>
      </c>
      <c r="D5" s="21" t="n"/>
      <c r="E5" s="22" t="inlineStr"/>
    </row>
    <row r="6" ht="28" customHeight="1">
      <c r="A6" s="21" t="n">
        <v>3</v>
      </c>
      <c r="B6" s="22" t="inlineStr">
        <is>
          <t>Open a conversation that shows an unread badge.</t>
        </is>
      </c>
      <c r="C6" s="22" t="inlineStr">
        <is>
          <t>It opens and the badge clears from the list.</t>
        </is>
      </c>
      <c r="D6" s="21" t="n"/>
      <c r="E6" s="22" t="inlineStr"/>
    </row>
    <row r="7" ht="50" customHeight="1">
      <c r="A7" s="21" t="n">
        <v>4</v>
      </c>
      <c r="B7" s="22" t="inlineStr">
        <is>
          <t>Compare a conversation with an open window (green 'Xh Ym left' chip) against one with a closed window (grey 'Window closed' chip).</t>
        </is>
      </c>
      <c r="C7" s="22" t="inlineStr">
        <is>
          <t>Each chip's colour and label match that conversation's real 24-hour-window state.</t>
        </is>
      </c>
      <c r="D7" s="21" t="n"/>
      <c r="E7" s="22" t="inlineStr"/>
    </row>
    <row r="8" ht="18" customHeight="1">
      <c r="A8" s="10" t="inlineStr"/>
      <c r="B8" s="18" t="inlineStr">
        <is>
          <t>B. CHAT — WITHIN THE 24-HOUR WINDOW</t>
        </is>
      </c>
      <c r="C8" s="19" t="n"/>
      <c r="D8" s="19" t="n"/>
      <c r="E8" s="20" t="n"/>
    </row>
    <row r="9" ht="40" customHeight="1">
      <c r="A9" s="21" t="n">
        <v>5</v>
      </c>
      <c r="B9" s="22" t="inlineStr">
        <is>
          <t>Open a chat whose window is open.</t>
        </is>
      </c>
      <c r="C9" s="22" t="inlineStr">
        <is>
          <t>A free-form text composer is shown under a green 'Within 24-hour window' banner with a countdown.</t>
        </is>
      </c>
      <c r="D9" s="21" t="n"/>
      <c r="E9" s="22" t="inlineStr"/>
    </row>
    <row r="10" ht="32" customHeight="1">
      <c r="A10" s="21" t="n">
        <v>6</v>
      </c>
      <c r="B10" s="22" t="inlineStr">
        <is>
          <t>Type and send a plain text message.</t>
        </is>
      </c>
      <c r="C10" s="22" t="inlineStr">
        <is>
          <t>It appears immediately as an outgoing bubble, then confirms as sent.</t>
        </is>
      </c>
      <c r="D10" s="21" t="n"/>
      <c r="E10" s="22" t="inlineStr"/>
    </row>
    <row r="11" ht="38" customHeight="1">
      <c r="A11" s="21" t="n">
        <v>7</v>
      </c>
      <c r="B11" s="22" t="inlineStr">
        <is>
          <t>Send a message with the connection off (airplane mode) and restore the connection after.</t>
        </is>
      </c>
      <c r="C11" s="22" t="inlineStr">
        <is>
          <t>The bubble is marked failed and offers a Retry tap; retrying re-sends it.</t>
        </is>
      </c>
      <c r="D11" s="21" t="n"/>
      <c r="E11" s="22" t="inlineStr"/>
    </row>
    <row r="12" ht="18" customHeight="1">
      <c r="A12" s="10" t="inlineStr"/>
      <c r="B12" s="18" t="inlineStr">
        <is>
          <t>C. CHAT — WINDOW CLOSED (TEMPLATE-ONLY)</t>
        </is>
      </c>
      <c r="C12" s="19" t="n"/>
      <c r="D12" s="19" t="n"/>
      <c r="E12" s="20" t="n"/>
    </row>
    <row r="13" ht="53" customHeight="1">
      <c r="A13" s="21" t="n">
        <v>8</v>
      </c>
      <c r="B13" s="22" t="inlineStr">
        <is>
          <t>Open a chat whose 24-hour window has closed.</t>
        </is>
      </c>
      <c r="C13" s="22" t="inlineStr">
        <is>
          <t>The free-text composer is replaced by a grey 'Window closed' banner and a single 'Send a template message' button — no free text can be typed.</t>
        </is>
      </c>
      <c r="D13" s="21" t="n"/>
      <c r="E13" s="22" t="inlineStr"/>
    </row>
    <row r="14" ht="42" customHeight="1">
      <c r="A14" s="21" t="n">
        <v>9</v>
      </c>
      <c r="B14" s="22" t="inlineStr">
        <is>
          <t>Tap 'Send a template message'.</t>
        </is>
      </c>
      <c r="C14" s="22" t="inlineStr">
        <is>
          <t>A sheet lists only APPROVED WhatsApp templates, each previewed with the contact's first name filled in.</t>
        </is>
      </c>
      <c r="D14" s="21" t="n"/>
      <c r="E14" s="22" t="inlineStr"/>
    </row>
    <row r="15" ht="36" customHeight="1">
      <c r="A15" s="21" t="n">
        <v>10</v>
      </c>
      <c r="B15" s="22" t="inlineStr">
        <is>
          <t>Pick a template and send it.</t>
        </is>
      </c>
      <c r="C15" s="22" t="inlineStr">
        <is>
          <t>It posts as an outgoing bubble tagged as a template message and the sheet closes.</t>
        </is>
      </c>
      <c r="D15" s="21" t="n"/>
      <c r="E15" s="22" t="inlineStr"/>
    </row>
    <row r="16" ht="36" customHeight="1">
      <c r="A16" s="21" t="n">
        <v>11</v>
      </c>
      <c r="B16" s="22" t="inlineStr">
        <is>
          <t>Open the template sheet before any templates have synced from the provider.</t>
        </is>
      </c>
      <c r="C16" s="22" t="inlineStr">
        <is>
          <t>An honest 'No approved templates' empty state is shown — never a fake canned list.</t>
        </is>
      </c>
      <c r="D16" s="21" t="n"/>
      <c r="E16" s="22" t="inlineStr"/>
    </row>
    <row r="17" ht="18" customHeight="1">
      <c r="A17" s="10" t="inlineStr"/>
      <c r="B17" s="18" t="inlineStr">
        <is>
          <t>D. COMPOSER AFFORDANCES &amp; CALL</t>
        </is>
      </c>
      <c r="C17" s="19" t="n"/>
      <c r="D17" s="19" t="n"/>
      <c r="E17" s="20" t="n"/>
    </row>
    <row r="18" ht="31" customHeight="1">
      <c r="A18" s="21" t="n">
        <v>12</v>
      </c>
      <c r="B18" s="22" t="inlineStr">
        <is>
          <t>Tap the emoji icon in the open composer.</t>
        </is>
      </c>
      <c r="C18" s="22" t="inlineStr">
        <is>
          <t>Shows an 'Emoji picker — coming soon' toast.</t>
        </is>
      </c>
      <c r="D18" s="21" t="n"/>
      <c r="E18" s="22" t="inlineStr">
        <is>
          <t>Placeholder only — no working emoji picker exists on mobile yet.</t>
        </is>
      </c>
    </row>
    <row r="19" ht="41" customHeight="1">
      <c r="A19" s="21" t="n">
        <v>13</v>
      </c>
      <c r="B19" s="22" t="inlineStr">
        <is>
          <t>Tap the paperclip (attach) icon in the composer.</t>
        </is>
      </c>
      <c r="C19" s="22" t="inlineStr">
        <is>
          <t>Shows an 'Attach — file picker coming soon' toast.</t>
        </is>
      </c>
      <c r="D19" s="21" t="n"/>
      <c r="E19" s="22" t="inlineStr">
        <is>
          <t>Placeholder only — sending an image or document from the chat composer is not available on mobile.</t>
        </is>
      </c>
    </row>
    <row r="20" ht="43" customHeight="1">
      <c r="A20" s="21" t="n">
        <v>14</v>
      </c>
      <c r="B20" s="22" t="inlineStr">
        <is>
          <t>Tap the phone icon in a chat's header.</t>
        </is>
      </c>
      <c r="C20" s="22" t="inlineStr">
        <is>
          <t>Shows a 'Calling {name}…' toast.</t>
        </is>
      </c>
      <c r="D20" s="21" t="n"/>
      <c r="E20" s="22" t="inlineStr">
        <is>
          <t>This does not place a real call — there is no dialer or Exotel bridge wired to the Chat header on mobile.</t>
        </is>
      </c>
    </row>
    <row r="21" ht="18" customHeight="1">
      <c r="A21" s="10" t="inlineStr"/>
      <c r="B21" s="18" t="inlineStr">
        <is>
          <t>E. MEDIAS &amp; LINKS TABS</t>
        </is>
      </c>
      <c r="C21" s="19" t="n"/>
      <c r="D21" s="19" t="n"/>
      <c r="E21" s="20" t="n"/>
    </row>
    <row r="22" ht="30" customHeight="1">
      <c r="A22" s="21" t="n">
        <v>15</v>
      </c>
      <c r="B22" s="22" t="inlineStr">
        <is>
          <t>Open the Medias tab on a conversation that has shared files.</t>
        </is>
      </c>
      <c r="C22" s="22" t="inlineStr">
        <is>
          <t>Files are listed with a type icon, name and date/size.</t>
        </is>
      </c>
      <c r="D22" s="21" t="n"/>
      <c r="E22" s="22" t="inlineStr"/>
    </row>
    <row r="23" ht="38" customHeight="1">
      <c r="A23" s="21" t="n">
        <v>16</v>
      </c>
      <c r="B23" s="22" t="inlineStr">
        <is>
          <t>Tap the download icon on a media row.</t>
        </is>
      </c>
      <c r="C23" s="22" t="inlineStr">
        <is>
          <t>Check and note whether the file actually downloads or the icon is currently decorative.</t>
        </is>
      </c>
      <c r="D23" s="21" t="n"/>
      <c r="E23" s="22" t="inlineStr"/>
    </row>
    <row r="24" ht="34" customHeight="1">
      <c r="A24" s="21" t="n">
        <v>17</v>
      </c>
      <c r="B24" s="22" t="inlineStr">
        <is>
          <t>Open the Links tab on a conversation where a URL was pasted into a message.</t>
        </is>
      </c>
      <c r="C24" s="22" t="inlineStr">
        <is>
          <t>The link is listed with a readable host/path title.</t>
        </is>
      </c>
      <c r="D24" s="21" t="n"/>
      <c r="E24" s="22" t="inlineStr"/>
    </row>
    <row r="25" ht="31" customHeight="1">
      <c r="A25" s="21" t="n">
        <v>18</v>
      </c>
      <c r="B25" s="22" t="inlineStr">
        <is>
          <t>Open Medias and Links on a conversation with nothing shared.</t>
        </is>
      </c>
      <c r="C25" s="22" t="inlineStr">
        <is>
          <t>A friendly empty state is shown on each tab, not a blank screen.</t>
        </is>
      </c>
      <c r="D25" s="21" t="n"/>
      <c r="E25" s="22" t="inlineStr"/>
    </row>
    <row r="26" ht="18" customHeight="1">
      <c r="A26" s="10" t="inlineStr"/>
      <c r="B26" s="18" t="inlineStr">
        <is>
          <t>F. WHATSAPP FROM A LEAD</t>
        </is>
      </c>
      <c r="C26" s="19" t="n"/>
      <c r="D26" s="19" t="n"/>
      <c r="E26" s="20" t="n"/>
    </row>
    <row r="27" ht="32" customHeight="1">
      <c r="A27" s="21" t="n">
        <v>19</v>
      </c>
      <c r="B27" s="22" t="inlineStr">
        <is>
          <t>Tap a contact's name in the Chat header when it is linked to a lead.</t>
        </is>
      </c>
      <c r="C27" s="22" t="inlineStr">
        <is>
          <t>Navigates to that lead's detail screen.</t>
        </is>
      </c>
      <c r="D27" s="21" t="n"/>
      <c r="E27" s="22" t="inlineStr"/>
    </row>
    <row r="28" ht="37" customHeight="1">
      <c r="A28" s="21" t="n">
        <v>20</v>
      </c>
      <c r="B28" s="22" t="inlineStr">
        <is>
          <t>From a Lead's detail screen, tap WhatsApp when a thread already exists for that lead.</t>
        </is>
      </c>
      <c r="C28" s="22" t="inlineStr">
        <is>
          <t>Opens the existing in-app Chat thread directly.</t>
        </is>
      </c>
      <c r="D28" s="21" t="n"/>
      <c r="E28" s="22" t="inlineStr"/>
    </row>
    <row r="29" ht="76" customHeight="1">
      <c r="A29" s="21" t="n">
        <v>21</v>
      </c>
      <c r="B29" s="22" t="inlineStr">
        <is>
          <t>From a Lead's detail screen, tap WhatsApp when NO thread exists yet for that lead's number.</t>
        </is>
      </c>
      <c r="C29" s="22" t="inlineStr">
        <is>
          <t>Hands the number to the external WhatsApp app (a wa.me link) instead of opening an empty in-app thread.</t>
        </is>
      </c>
      <c r="D29" s="21" t="n"/>
      <c r="E29" s="22" t="inlineStr">
        <is>
          <t>Intentional, not a bug: the API has no 'start a conversation' endpoint reachable by a normal sales user, so the first outbound message must go through WhatsApp itself; the in-app thread appears once that message gets a reply.</t>
        </is>
      </c>
    </row>
    <row r="30" ht="35" customHeight="1">
      <c r="A30" s="21" t="n">
        <v>22</v>
      </c>
      <c r="B30" s="22" t="inlineStr">
        <is>
          <t>From a Lead's detail screen with no phone number saved at all, tap WhatsApp.</t>
        </is>
      </c>
      <c r="C30" s="22" t="inlineStr">
        <is>
          <t>A clear 'no number to message' outcome — never a crash or silent no-op.</t>
        </is>
      </c>
      <c r="D30" s="21" t="n"/>
      <c r="E30" s="22" t="inlineStr"/>
    </row>
    <row r="31" ht="37" customHeight="1">
      <c r="A31" s="21" t="n">
        <v>23</v>
      </c>
      <c r="B31" s="22" t="inlineStr">
        <is>
          <t>Force the conversation list to fail loading (e.g. airplane mode) and reopen Messages.</t>
        </is>
      </c>
      <c r="C31" s="22" t="inlineStr">
        <is>
          <t>A retry control is shown; tapping it reloads the list.</t>
        </is>
      </c>
      <c r="D31" s="21" t="n"/>
      <c r="E31" s="22" t="inlineStr"/>
    </row>
  </sheetData>
  <mergeCells count="7">
    <mergeCell ref="B26:E26"/>
    <mergeCell ref="B17:E17"/>
    <mergeCell ref="B8:E8"/>
    <mergeCell ref="B12:E12"/>
    <mergeCell ref="B21:E21"/>
    <mergeCell ref="A1:E1"/>
    <mergeCell ref="B3:E3"/>
  </mergeCells>
  <dataValidations count="1">
    <dataValidation sqref="D4 D5 D6 D7 D9 D10 D11 D13 D14 D15 D16 D18 D19 D20 D22 D23 D24 D25 D27 D28 D29 D30 D31" showDropDown="0" showInputMessage="0" showErrorMessage="0" allowBlank="1" type="list">
      <formula1>"Pass,Fail,Blocked,N/A,Not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Training (LMS)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OVERVIEW &amp; ALL COURSES (VIEWING)</t>
        </is>
      </c>
      <c r="C3" s="19" t="n"/>
      <c r="D3" s="19" t="n"/>
      <c r="E3" s="20" t="n"/>
    </row>
    <row r="4" ht="43" customHeight="1">
      <c r="A4" s="21" t="n">
        <v>1</v>
      </c>
      <c r="B4" s="22" t="inlineStr">
        <is>
          <t>Open Training.</t>
        </is>
      </c>
      <c r="C4" s="22" t="inlineStr">
        <is>
          <t>Overview loads: Total courses / Total learners / Avg. completion tiles, top 3 courses and Recent activity.</t>
        </is>
      </c>
      <c r="D4" s="21" t="n"/>
      <c r="E4" s="22" t="inlineStr"/>
    </row>
    <row r="5" ht="39" customHeight="1">
      <c r="A5" s="21" t="n">
        <v>2</v>
      </c>
      <c r="B5" s="22" t="inlineStr">
        <is>
          <t>Tap 'View all Courses'.</t>
        </is>
      </c>
      <c r="C5" s="22" t="inlineStr">
        <is>
          <t>All Courses loads with a search box and Published/Drafts status chips that filter the list.</t>
        </is>
      </c>
      <c r="D5" s="21" t="n"/>
      <c r="E5" s="22" t="inlineStr"/>
    </row>
    <row r="6" ht="18" customHeight="1">
      <c r="A6" s="10" t="inlineStr"/>
      <c r="B6" s="18" t="inlineStr">
        <is>
          <t>B. COURSE BUILDER — CHECK BEFORE TRUSTING IT</t>
        </is>
      </c>
      <c r="C6" s="19" t="n"/>
      <c r="D6" s="19" t="n"/>
      <c r="E6" s="20" t="n"/>
    </row>
    <row r="7" ht="90" customHeight="1">
      <c r="A7" s="21" t="n">
        <v>3</v>
      </c>
      <c r="B7" s="22" t="inlineStr">
        <is>
          <t>Tap 'New course', enter a title and tap Create.</t>
        </is>
      </c>
      <c r="C7" s="22" t="inlineStr">
        <is>
          <t>The course appears as a draft on screen.</t>
        </is>
      </c>
      <c r="D7" s="21" t="n"/>
      <c r="E7" s="22" t="inlineStr">
        <is>
          <t>KNOWN GAP, verified against lms_providers.dart: the LMS layer only ever fetches courses/records/activity — there is no create, update, publish or delete call anywhere in it. Everything the Course Builder does lives in that screen's local state only and is never sent to the backend.</t>
        </is>
      </c>
    </row>
    <row r="8" ht="52" customHeight="1">
      <c r="A8" s="21" t="n">
        <v>4</v>
      </c>
      <c r="B8" s="22" t="inlineStr">
        <is>
          <t>Add a module, then tap to attach a video and a PDF resource.</t>
        </is>
      </c>
      <c r="C8" s="22" t="inlineStr">
        <is>
          <t>The module shows a video and a resource file attached.</t>
        </is>
      </c>
      <c r="D8" s="21" t="n"/>
      <c r="E8" s="22" t="inlineStr">
        <is>
          <t>Simulated: the app just toasts 'lesson-video.mp4 attached' / 'PDF attached' — there is no real file picker or upload behind either button.</t>
        </is>
      </c>
    </row>
    <row r="9" ht="54" customHeight="1">
      <c r="A9" s="21" t="n">
        <v>5</v>
      </c>
      <c r="B9" s="22" t="inlineStr">
        <is>
          <t>Toggle Sequential Modules and Mandatory course, set a deadline, and tap Publish.</t>
        </is>
      </c>
      <c r="C9" s="22" t="inlineStr">
        <is>
          <t>Toasts 'Course published' and returns to the previous screen.</t>
        </is>
      </c>
      <c r="D9" s="21" t="n"/>
      <c r="E9" s="22" t="inlineStr">
        <is>
          <t>Confirm this does not actually persist — reopening the course list or the course fresh will not show any of this, since Publish makes no API call.</t>
        </is>
      </c>
    </row>
    <row r="10" ht="42" customHeight="1">
      <c r="A10" s="21" t="n">
        <v>6</v>
      </c>
      <c r="B10" s="22" t="inlineStr">
        <is>
          <t>Open an existing course in the builder and tap 'Delete the course'.</t>
        </is>
      </c>
      <c r="C10" s="22" t="inlineStr">
        <is>
          <t>Toasts 'Course deleted' only.</t>
        </is>
      </c>
      <c r="D10" s="21" t="n"/>
      <c r="E10" s="22" t="inlineStr">
        <is>
          <t>Nothing is actually deleted server-side — treat every Course Builder action as UI-only on this build.</t>
        </is>
      </c>
    </row>
    <row r="11" ht="18" customHeight="1">
      <c r="A11" s="10" t="inlineStr"/>
      <c r="B11" s="18" t="inlineStr">
        <is>
          <t>C. COURSE DETAIL (ADMIN VIEW)</t>
        </is>
      </c>
      <c r="C11" s="19" t="n"/>
      <c r="D11" s="19" t="n"/>
      <c r="E11" s="20" t="n"/>
    </row>
    <row r="12" ht="56" customHeight="1">
      <c r="A12" s="21" t="n">
        <v>7</v>
      </c>
      <c r="B12" s="22" t="inlineStr">
        <is>
          <t>Open a published course's detail screen.</t>
        </is>
      </c>
      <c r="C12" s="22" t="inlineStr">
        <is>
          <t>Enrolled / Completed / In progress / Overdue tiles, a completion-rate bar, the modules list and assigned learners with per-learner progress bars all load.</t>
        </is>
      </c>
      <c r="D12" s="21" t="n"/>
      <c r="E12" s="22" t="inlineStr"/>
    </row>
    <row r="13" ht="39" customHeight="1">
      <c r="A13" s="21" t="n">
        <v>8</v>
      </c>
      <c r="B13" s="22" t="inlineStr">
        <is>
          <t>Tap Nudge next to a learner who has not completed the course.</t>
        </is>
      </c>
      <c r="C13" s="22" t="inlineStr">
        <is>
          <t>Shows a 'Reminder sent to {name}' toast.</t>
        </is>
      </c>
      <c r="D13" s="21" t="n"/>
      <c r="E13" s="22" t="inlineStr">
        <is>
          <t>Confirm whether this triggers a real notification to that learner or is a local toast only.</t>
        </is>
      </c>
    </row>
    <row r="14" ht="38" customHeight="1">
      <c r="A14" s="21" t="n">
        <v>9</v>
      </c>
      <c r="B14" s="22" t="inlineStr">
        <is>
          <t>Tap 'Assign course' on the course detail or Learners screen.</t>
        </is>
      </c>
      <c r="C14" s="22" t="inlineStr">
        <is>
          <t>Only shows a placeholder toast — there is no working course-assignment flow on mobile yet.</t>
        </is>
      </c>
      <c r="D14" s="21" t="n"/>
      <c r="E14" s="22" t="inlineStr"/>
    </row>
    <row r="15" ht="18" customHeight="1">
      <c r="A15" s="10" t="inlineStr"/>
      <c r="B15" s="18" t="inlineStr">
        <is>
          <t>D. LEARNER EXPERIENCE</t>
        </is>
      </c>
      <c r="C15" s="19" t="n"/>
      <c r="D15" s="19" t="n"/>
      <c r="E15" s="20" t="n"/>
    </row>
    <row r="16" ht="36" customHeight="1">
      <c r="A16" s="21" t="n">
        <v>10</v>
      </c>
      <c r="B16" s="22" t="inlineStr">
        <is>
          <t>Open My Courses as a learner.</t>
        </is>
      </c>
      <c r="C16" s="22" t="inlineStr">
        <is>
          <t>A progress header, an in-progress module carousel and a 'More courses' grid load.</t>
        </is>
      </c>
      <c r="D16" s="21" t="n"/>
      <c r="E16" s="22" t="inlineStr"/>
    </row>
    <row r="17" ht="41" customHeight="1">
      <c r="A17" s="21" t="n">
        <v>11</v>
      </c>
      <c r="B17" s="22" t="inlineStr">
        <is>
          <t>On a Sequential course, try to open module 3 before finishing module 2.</t>
        </is>
      </c>
      <c r="C17" s="22" t="inlineStr">
        <is>
          <t>Module 3 shows locked (padlock, dimmed) and tapping it toasts 'Complete the previous module first'.</t>
        </is>
      </c>
      <c r="D17" s="21" t="n"/>
      <c r="E17" s="22" t="inlineStr"/>
    </row>
    <row r="18" ht="46" customHeight="1">
      <c r="A18" s="21" t="n">
        <v>12</v>
      </c>
      <c r="B18" s="22" t="inlineStr">
        <is>
          <t>Open an unlocked module in the player and tap play.</t>
        </is>
      </c>
      <c r="C18" s="22" t="inlineStr">
        <is>
          <t>Progress jumps to 35%.</t>
        </is>
      </c>
      <c r="D18" s="21" t="n"/>
      <c r="E18" s="22" t="inlineStr">
        <is>
          <t>There is no real video file streaming or scrubbing behind the player — play/pause only advances a stored percentage.</t>
        </is>
      </c>
    </row>
    <row r="19" ht="36" customHeight="1">
      <c r="A19" s="21" t="n">
        <v>13</v>
      </c>
      <c r="B19" s="22" t="inlineStr">
        <is>
          <t>Tap 'Mark as Completed' on the open module.</t>
        </is>
      </c>
      <c r="C19" s="22" t="inlineStr">
        <is>
          <t>The module reaches 100% and the next module unlocks (if the course is Sequential).</t>
        </is>
      </c>
      <c r="D19" s="21" t="n"/>
      <c r="E19" s="22" t="inlineStr"/>
    </row>
    <row r="20" ht="51" customHeight="1">
      <c r="A20" s="21" t="n">
        <v>14</v>
      </c>
      <c r="B20" s="22" t="inlineStr">
        <is>
          <t>Complete every module in a course.</t>
        </is>
      </c>
      <c r="C20" s="22" t="inlineStr">
        <is>
          <t>A certificate card appears with a 'Download certificate' button; tapping it toasts 'Certificate downloaded' with no real file produced.</t>
        </is>
      </c>
      <c r="D20" s="21" t="n"/>
      <c r="E20" s="22" t="inlineStr"/>
    </row>
    <row r="21" ht="33" customHeight="1">
      <c r="A21" s="21" t="n">
        <v>15</v>
      </c>
      <c r="B21" s="22" t="inlineStr">
        <is>
          <t>Check a course whose deadline has already passed without being finished.</t>
        </is>
      </c>
      <c r="C21" s="22" t="inlineStr">
        <is>
          <t>It is shown with an Overdue status pill for that learner.</t>
        </is>
      </c>
      <c r="D21" s="21" t="n"/>
      <c r="E21" s="22" t="inlineStr"/>
    </row>
    <row r="22" ht="73" customHeight="1">
      <c r="A22" s="21" t="n">
        <v>16</v>
      </c>
      <c r="B22" s="22" t="inlineStr">
        <is>
          <t>Assign a Mandatory course to yourself and leave it incomplete, then use the rest of the app.</t>
        </is>
      </c>
      <c r="C22" s="22" t="inlineStr">
        <is>
          <t>Access to the rest of the app is not affected.</t>
        </is>
      </c>
      <c r="D22" s="21" t="n"/>
      <c r="E22" s="22" t="inlineStr">
        <is>
          <t>KNOWN GAP: 'mandatory' is stored and shown only as a '· Mandatory' label on the course — nothing in the app currently blocks access for an incomplete mandatory course, unlike the web reference's intended behaviour.</t>
        </is>
      </c>
    </row>
    <row r="23" ht="43" customHeight="1">
      <c r="A23" s="21" t="n">
        <v>17</v>
      </c>
      <c r="B23" s="22" t="inlineStr">
        <is>
          <t>Look for a Quiz/Questionnaire anywhere in a course, as both learner and admin.</t>
        </is>
      </c>
      <c r="C23" s="22" t="inlineStr">
        <is>
          <t>Confirm there is currently no quiz feature at all on mobile — no quiz builder, no quiz player, no scoring.</t>
        </is>
      </c>
      <c r="D23" s="21" t="n"/>
      <c r="E23" s="22" t="inlineStr">
        <is>
          <t>Mark N/A rather than testing quiz pass/fail/retake behaviour, which does not exist on this build.</t>
        </is>
      </c>
    </row>
    <row r="24" ht="18" customHeight="1">
      <c r="A24" s="10" t="inlineStr"/>
      <c r="B24" s="18" t="inlineStr">
        <is>
          <t>E. LEARNERS (ADMIN)</t>
        </is>
      </c>
      <c r="C24" s="19" t="n"/>
      <c r="D24" s="19" t="n"/>
      <c r="E24" s="20" t="n"/>
    </row>
    <row r="25" ht="46" customHeight="1">
      <c r="A25" s="21" t="n">
        <v>18</v>
      </c>
      <c r="B25" s="22" t="inlineStr">
        <is>
          <t>Open Learners and filter by role and by status (Not started / In progress / Completed / Overdue), then search by name.</t>
        </is>
      </c>
      <c r="C25" s="22" t="inlineStr">
        <is>
          <t>The list narrows correctly for each filter and search combination.</t>
        </is>
      </c>
      <c r="D25" s="21" t="n"/>
      <c r="E25" s="22" t="inlineStr"/>
    </row>
    <row r="26" ht="42" customHeight="1">
      <c r="A26" s="21" t="n">
        <v>19</v>
      </c>
      <c r="B26" s="22" t="inlineStr">
        <is>
          <t>Tap Nudge on an overdue learner from the Learners list.</t>
        </is>
      </c>
      <c r="C26" s="22" t="inlineStr">
        <is>
          <t>Same 'Reminder sent' toast as on the course detail screen — confirm whether it is a real notification.</t>
        </is>
      </c>
      <c r="D26" s="21" t="n"/>
      <c r="E26" s="22" t="inlineStr"/>
    </row>
  </sheetData>
  <mergeCells count="6">
    <mergeCell ref="B6:E6"/>
    <mergeCell ref="B15:E15"/>
    <mergeCell ref="A1:E1"/>
    <mergeCell ref="B11:E11"/>
    <mergeCell ref="B3:E3"/>
    <mergeCell ref="B24:E24"/>
  </mergeCells>
  <dataValidations count="1">
    <dataValidation sqref="D4 D5 D7 D8 D9 D10 D12 D13 D14 D16 D17 D18 D19 D20 D21 D22 D23 D25 D26" showDropDown="0" showInputMessage="0" showErrorMessage="0" allowBlank="1" type="list">
      <formula1>"Pass,Fail,Blocked,N/A,Not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Rewards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MY REWARDS (VIEW-ONLY)</t>
        </is>
      </c>
      <c r="C3" s="19" t="n"/>
      <c r="D3" s="19" t="n"/>
      <c r="E3" s="20" t="n"/>
    </row>
    <row r="4" ht="41" customHeight="1">
      <c r="A4" s="21" t="n">
        <v>1</v>
      </c>
      <c r="B4" s="22" t="inlineStr">
        <is>
          <t>Open My Rewards.</t>
        </is>
      </c>
      <c r="C4" s="22" t="inlineStr">
        <is>
          <t>The profile card loads: your name, role, milestones achieved, reporting manager and current level.</t>
        </is>
      </c>
      <c r="D4" s="21" t="n"/>
      <c r="E4" s="22" t="inlineStr"/>
    </row>
    <row r="5" ht="76" customHeight="1">
      <c r="A5" s="21" t="n">
        <v>2</v>
      </c>
      <c r="B5" s="22" t="inlineStr">
        <is>
          <t>Look for any way to create, edit, approve or reject a milestone or reward from this screen.</t>
        </is>
      </c>
      <c r="C5" s="22" t="inlineStr">
        <is>
          <t>There is none — Rewards on mobile is a personal viewing screen only.</t>
        </is>
      </c>
      <c r="D5" s="21" t="n"/>
      <c r="E5" s="22" t="inlineStr">
        <is>
          <t>Verified in rewards_screen.dart and rewards_providers.dart: there is no milestone-builder, no approval action, and no 'My Team' or 'Approvals' screen like the web reference has — only a single read-only My Rewards view exists.</t>
        </is>
      </c>
    </row>
    <row r="6" ht="36" customHeight="1">
      <c r="A6" s="21" t="n">
        <v>3</v>
      </c>
      <c r="B6" s="22" t="inlineStr">
        <is>
          <t>Check the 'Progress refreshes about every 6 hours' note and its Last-updated time.</t>
        </is>
      </c>
      <c r="C6" s="22" t="inlineStr">
        <is>
          <t>The note is shown and the timestamp looks plausible/recent.</t>
        </is>
      </c>
      <c r="D6" s="21" t="n"/>
      <c r="E6" s="22" t="inlineStr"/>
    </row>
    <row r="7" ht="49" customHeight="1">
      <c r="A7" s="21" t="n">
        <v>4</v>
      </c>
      <c r="B7" s="22" t="inlineStr">
        <is>
          <t>Scroll through the goal cards.</t>
        </is>
      </c>
      <c r="C7" s="22" t="inlineStr">
        <is>
          <t>Each shows its achievement title/subtitle, a progress bar toward target, and the reward's state (Locked / Achieved / Approved).</t>
        </is>
      </c>
      <c r="D7" s="21" t="n"/>
      <c r="E7" s="22" t="inlineStr"/>
    </row>
    <row r="8" ht="35" customHeight="1">
      <c r="A8" s="21" t="n">
        <v>5</v>
      </c>
      <c r="B8" s="22" t="inlineStr">
        <is>
          <t>Expand a goal card's past-periods section.</t>
        </is>
      </c>
      <c r="C8" s="22" t="inlineStr">
        <is>
          <t>Historical rows (period, result, whether it was paid) show and hide correctly.</t>
        </is>
      </c>
      <c r="D8" s="21" t="n"/>
      <c r="E8" s="22" t="inlineStr"/>
    </row>
    <row r="9" ht="33" customHeight="1">
      <c r="A9" s="21" t="n">
        <v>6</v>
      </c>
      <c r="B9" s="22" t="inlineStr">
        <is>
          <t>Open My Rewards for a user with no milestones set up at all.</t>
        </is>
      </c>
      <c r="C9" s="22" t="inlineStr">
        <is>
          <t>A friendly 'No rewards yet' empty state is shown, not a blank screen.</t>
        </is>
      </c>
      <c r="D9" s="21" t="n"/>
      <c r="E9" s="22" t="inlineStr"/>
    </row>
    <row r="10" ht="67" customHeight="1">
      <c r="A10" s="21" t="n">
        <v>7</v>
      </c>
      <c r="B10" s="22" t="inlineStr">
        <is>
          <t>Open My Rewards for a user with no qualifying track data yet.</t>
        </is>
      </c>
      <c r="C10" s="22" t="inlineStr">
        <is>
          <t>The whole Closer Track card is hidden rather than shown with fake or empty levels.</t>
        </is>
      </c>
      <c r="D10" s="21" t="n"/>
      <c r="E10" s="22" t="inlineStr">
        <is>
          <t>Confirmed in reward.dart / rewards_screen.dart: level-track data cannot currently be derived from the milestone endpoints in API mode, so the card is suppressed entirely instead of being faked.</t>
        </is>
      </c>
    </row>
    <row r="11" ht="43" customHeight="1">
      <c r="A11" s="21" t="n">
        <v>8</v>
      </c>
      <c r="B11" s="22" t="inlineStr">
        <is>
          <t>Where the Closer Track IS shown, check the level timeline.</t>
        </is>
      </c>
      <c r="C11" s="22" t="inlineStr">
        <is>
          <t>The current level is marked 'YOU ARE HERE', earlier levels show a checkmark, and later ones show a padlock.</t>
        </is>
      </c>
      <c r="D11" s="21" t="n"/>
      <c r="E11" s="22" t="inlineStr"/>
    </row>
    <row r="12" ht="38" customHeight="1">
      <c r="A12" s="21" t="n">
        <v>9</v>
      </c>
      <c r="B12" s="22" t="inlineStr">
        <is>
          <t>Force the rewards fetch to fail (e.g. airplane mode) and reopen the screen.</t>
        </is>
      </c>
      <c r="C12" s="22" t="inlineStr">
        <is>
          <t>An error state with a Retry control is shown; Retry reloads successfully once back online.</t>
        </is>
      </c>
      <c r="D12" s="21" t="n"/>
      <c r="E12" s="22" t="inlineStr"/>
    </row>
  </sheetData>
  <mergeCells count="2">
    <mergeCell ref="A1:E1"/>
    <mergeCell ref="B3:E3"/>
  </mergeCells>
  <dataValidations count="1">
    <dataValidation sqref="D4 D5 D6 D7 D8 D9 D10 D11 D12" showDropDown="0" showInputMessage="0" showErrorMessage="0" allowBlank="1" type="list">
      <formula1>"Pass,Fail,Blocked,N/A,Not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Dashboard &amp; Reports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DASHBOARD — GENERAL</t>
        </is>
      </c>
      <c r="C3" s="19" t="n"/>
      <c r="D3" s="19" t="n"/>
      <c r="E3" s="20" t="n"/>
    </row>
    <row r="4" ht="38" customHeight="1">
      <c r="A4" s="21" t="n">
        <v>1</v>
      </c>
      <c r="B4" s="22" t="inlineStr">
        <is>
          <t>Open the Dashboard tab after signing in.</t>
        </is>
      </c>
      <c r="C4" s="22" t="inlineStr">
        <is>
          <t>It loads with KPI cards and charts for the Business panel — not blank, not a raw error.</t>
        </is>
      </c>
      <c r="D4" s="21" t="n"/>
      <c r="E4" s="22" t="inlineStr"/>
    </row>
    <row r="5" ht="69" customHeight="1">
      <c r="A5" s="21" t="n">
        <v>2</v>
      </c>
      <c r="B5" s="22" t="inlineStr">
        <is>
          <t>Switch between the Business / CRM / Operations / Helpdesk tabs at the bottom.</t>
        </is>
      </c>
      <c r="C5" s="22" t="inlineStr">
        <is>
          <t>Each panel loads its own KPIs and charts (e.g. CRM shows stale leads/quotes/payments, Operations shows project status and overdue tasks, Helpdesk shows ticket categories and SLA/priority breakdowns).</t>
        </is>
      </c>
      <c r="D5" s="21" t="n"/>
      <c r="E5" s="22" t="inlineStr"/>
    </row>
    <row r="6" ht="40" customHeight="1">
      <c r="A6" s="21" t="n">
        <v>3</v>
      </c>
      <c r="B6" s="22" t="inlineStr">
        <is>
          <t>Pull down to refresh on any dashboard panel.</t>
        </is>
      </c>
      <c r="C6" s="22" t="inlineStr">
        <is>
          <t>A refresh spinner shows and the figures for the currently selected tab, team and period reload.</t>
        </is>
      </c>
      <c r="D6" s="21" t="n"/>
      <c r="E6" s="22" t="inlineStr"/>
    </row>
    <row r="7" ht="34" customHeight="1">
      <c r="A7" s="21" t="n">
        <v>4</v>
      </c>
      <c r="B7" s="22" t="inlineStr">
        <is>
          <t>On the CRM or Operations tab, use the Period chip to change the date range.</t>
        </is>
      </c>
      <c r="C7" s="22" t="inlineStr">
        <is>
          <t>The KPIs and charts update to reflect the newly chosen period.</t>
        </is>
      </c>
      <c r="D7" s="21" t="n"/>
      <c r="E7" s="22" t="inlineStr"/>
    </row>
    <row r="8" ht="36" customHeight="1">
      <c r="A8" s="21" t="n">
        <v>5</v>
      </c>
      <c r="B8" s="22" t="inlineStr">
        <is>
          <t>On the CRM or Operations tab, use the Team chip to switch between teams/members.</t>
        </is>
      </c>
      <c r="C8" s="22" t="inlineStr">
        <is>
          <t>The panel's figures narrow to the chosen team or member.</t>
        </is>
      </c>
      <c r="D8" s="21" t="n"/>
      <c r="E8" s="22" t="inlineStr"/>
    </row>
    <row r="9" ht="53" customHeight="1">
      <c r="A9" s="21" t="n">
        <v>6</v>
      </c>
      <c r="B9" s="22" t="inlineStr">
        <is>
          <t>On the Business and Helpdesk tabs, check whether a Team chip is offered.</t>
        </is>
      </c>
      <c r="C9" s="22" t="inlineStr">
        <is>
          <t>No team/member chip is shown on these two panels — only the Period chip where relevant (Business shows neither; this is expected, not a bug).</t>
        </is>
      </c>
      <c r="D9" s="21" t="n"/>
      <c r="E9" s="22" t="inlineStr">
        <is>
          <t>Business has no per-team view; Helpdesk's dashboard endpoint accepts only an overall scope, not a team or user filter.</t>
        </is>
      </c>
    </row>
    <row r="10" ht="38" customHeight="1">
      <c r="A10" s="21" t="n">
        <v>7</v>
      </c>
      <c r="B10" s="22" t="inlineStr">
        <is>
          <t>Tap a KPI card (e.g. an overdue-tasks or stale-leads card).</t>
        </is>
      </c>
      <c r="C10" s="22" t="inlineStr">
        <is>
          <t>You are taken to the matching filtered list (e.g. the Tasks list pre-filtered to overdue).</t>
        </is>
      </c>
      <c r="D10" s="21" t="n"/>
      <c r="E10" s="22" t="inlineStr"/>
    </row>
    <row r="11" ht="40" customHeight="1">
      <c r="A11" s="21" t="n">
        <v>8</v>
      </c>
      <c r="B11" s="22" t="inlineStr">
        <is>
          <t>Turn off the internet and open/refresh the Dashboard.</t>
        </is>
      </c>
      <c r="C11" s="22" t="inlineStr">
        <is>
          <t>A clear offline/error message with a Retry button is shown instead of a blank or frozen screen.</t>
        </is>
      </c>
      <c r="D11" s="21" t="n"/>
      <c r="E11" s="22" t="inlineStr"/>
    </row>
    <row r="12" ht="31" customHeight="1">
      <c r="A12" s="21" t="n">
        <v>9</v>
      </c>
      <c r="B12" s="22" t="inlineStr">
        <is>
          <t>Sign in with two different role accounts and open the Dashboard.</t>
        </is>
      </c>
      <c r="C12" s="22" t="inlineStr">
        <is>
          <t>Each sees only the tabs/panels their role and plan allow.</t>
        </is>
      </c>
      <c r="D12" s="21" t="n"/>
      <c r="E12" s="22" t="inlineStr"/>
    </row>
    <row r="13" ht="18" customHeight="1">
      <c r="A13" s="10" t="inlineStr"/>
      <c r="B13" s="18" t="inlineStr">
        <is>
          <t>B. REPORTS (SALES)</t>
        </is>
      </c>
      <c r="C13" s="19" t="n"/>
      <c r="D13" s="19" t="n"/>
      <c r="E13" s="20" t="n"/>
    </row>
    <row r="14" ht="41" customHeight="1">
      <c r="A14" s="21" t="n">
        <v>10</v>
      </c>
      <c r="B14" s="22" t="inlineStr">
        <is>
          <t>Open Reports from the CRM section.</t>
        </is>
      </c>
      <c r="C14" s="22" t="inlineStr">
        <is>
          <t>A 'Sales performance' screen loads showing Total leads, Won deals, Win rate and Open pipeline value.</t>
        </is>
      </c>
      <c r="D14" s="21" t="n"/>
      <c r="E14" s="22" t="inlineStr"/>
    </row>
    <row r="15" ht="53" customHeight="1">
      <c r="A15" s="21" t="n">
        <v>11</v>
      </c>
      <c r="B15" s="22" t="inlineStr">
        <is>
          <t>Scroll down on the Reports screen.</t>
        </is>
      </c>
      <c r="C15" s="22" t="inlineStr">
        <is>
          <t>A Lead funnel chart (by stage), a Leads-by-status breakdown and a Top lead sources chart are shown, all computed from the current leads data.</t>
        </is>
      </c>
      <c r="D15" s="21" t="n"/>
      <c r="E15" s="22" t="inlineStr"/>
    </row>
    <row r="16" ht="31" customHeight="1">
      <c r="A16" s="21" t="n">
        <v>12</v>
      </c>
      <c r="B16" s="22" t="inlineStr">
        <is>
          <t>Pull down to refresh the Reports screen.</t>
        </is>
      </c>
      <c r="C16" s="22" t="inlineStr">
        <is>
          <t>The figures re-fetch and recompute from the latest leads list.</t>
        </is>
      </c>
      <c r="D16" s="21" t="n"/>
      <c r="E16" s="22" t="inlineStr"/>
    </row>
    <row r="17" ht="43" customHeight="1">
      <c r="A17" s="21" t="n">
        <v>13</v>
      </c>
      <c r="B17" s="22" t="inlineStr">
        <is>
          <t>Look for an Export or Import option on the Reports screen.</t>
        </is>
      </c>
      <c r="C17" s="22" t="inlineStr">
        <is>
          <t>None is offered — Reports on mobile is a live sales-performance view only, not a data export/import tool.</t>
        </is>
      </c>
      <c r="D17" s="21" t="n"/>
      <c r="E17" s="22" t="inlineStr">
        <is>
          <t>Confirmed: no export/import code in this screen. Data export/import is a web-only capability.</t>
        </is>
      </c>
    </row>
    <row r="18" ht="41" customHeight="1">
      <c r="A18" s="21" t="n">
        <v>14</v>
      </c>
      <c r="B18" s="22" t="inlineStr">
        <is>
          <t>Win a deal (mark a lead Won) and reopen Reports.</t>
        </is>
      </c>
      <c r="C18" s="22" t="inlineStr">
        <is>
          <t>Won deals, win rate and the funnel/status counts reflect the change once the leads list refreshes.</t>
        </is>
      </c>
      <c r="D18" s="21" t="n"/>
      <c r="E18" s="22" t="inlineStr"/>
    </row>
    <row r="19" ht="18" customHeight="1">
      <c r="A19" s="10" t="inlineStr"/>
      <c r="B19" s="18" t="inlineStr">
        <is>
          <t>C. BILLING (VIEW)</t>
        </is>
      </c>
      <c r="C19" s="19" t="n"/>
      <c r="D19" s="19" t="n"/>
      <c r="E19" s="20" t="n"/>
    </row>
    <row r="20" ht="36" customHeight="1">
      <c r="A20" s="21" t="n">
        <v>15</v>
      </c>
      <c r="B20" s="22" t="inlineStr">
        <is>
          <t>Open Billing from the menu.</t>
        </is>
      </c>
      <c r="C20" s="22" t="inlineStr">
        <is>
          <t>The current plan, usage figures and invoice history are shown for the workspace.</t>
        </is>
      </c>
      <c r="D20" s="21" t="n"/>
      <c r="E20" s="22" t="inlineStr"/>
    </row>
    <row r="21" ht="84" customHeight="1">
      <c r="A21" s="21" t="n">
        <v>16</v>
      </c>
      <c r="B21" s="22" t="inlineStr">
        <is>
          <t>Tap any action button on the Billing screen (e.g. upgrade, manage mandate, download invoice).</t>
        </is>
      </c>
      <c r="C21" s="22" t="inlineStr">
        <is>
          <t>Confirm whether the action actually performs a real change or only shows an informational confirmation message.</t>
        </is>
      </c>
      <c r="D21" s="21" t="n"/>
      <c r="E21" s="22" t="inlineStr">
        <is>
          <t>In the current build these buttons show an informational toast rather than performing a real upgrade/mandate/cancellation — treat this screen as a display-only summary, not a functional billing console, until confirmed otherwise on the build under test.</t>
        </is>
      </c>
    </row>
    <row r="22" ht="30" customHeight="1">
      <c r="A22" s="21" t="n">
        <v>17</v>
      </c>
      <c r="B22" s="22" t="inlineStr">
        <is>
          <t>As a user without access to Billing, look for it in the menu.</t>
        </is>
      </c>
      <c r="C22" s="22" t="inlineStr">
        <is>
          <t>Billing does not appear in the menu for that user.</t>
        </is>
      </c>
      <c r="D22" s="21" t="n"/>
      <c r="E22" s="22" t="inlineStr"/>
    </row>
  </sheetData>
  <mergeCells count="4">
    <mergeCell ref="B13:E13"/>
    <mergeCell ref="A1:E1"/>
    <mergeCell ref="B3:E3"/>
    <mergeCell ref="B19:E19"/>
  </mergeCells>
  <dataValidations count="1">
    <dataValidation sqref="D4 D5 D6 D7 D8 D9 D10 D11 D12 D14 D15 D16 D17 D18 D20 D21 D22" showDropDown="0" showInputMessage="0" showErrorMessage="0" allowBlank="1" type="list">
      <formula1>"Pass,Fail,Blocked,N/A,Not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Notifications</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NOTIFICATIONS LIST</t>
        </is>
      </c>
      <c r="C3" s="19" t="n"/>
      <c r="D3" s="19" t="n"/>
      <c r="E3" s="20" t="n"/>
    </row>
    <row r="4" ht="37" customHeight="1">
      <c r="A4" s="21" t="n">
        <v>1</v>
      </c>
      <c r="B4" s="22" t="inlineStr">
        <is>
          <t>Tap the bell icon to open Notifications.</t>
        </is>
      </c>
      <c r="C4" s="22" t="inlineStr">
        <is>
          <t>A list opens grouped under Today / Yesterday / Earlier, with an unread count shown.</t>
        </is>
      </c>
      <c r="D4" s="21" t="n"/>
      <c r="E4" s="22" t="inlineStr"/>
    </row>
    <row r="5" ht="31" customHeight="1">
      <c r="A5" s="21" t="n">
        <v>2</v>
      </c>
      <c r="B5" s="22" t="inlineStr">
        <is>
          <t>Switch between the All and Unread segments.</t>
        </is>
      </c>
      <c r="C5" s="22" t="inlineStr">
        <is>
          <t>The list narrows to only-unread items when Unread is selected.</t>
        </is>
      </c>
      <c r="D5" s="21" t="n"/>
      <c r="E5" s="22" t="inlineStr"/>
    </row>
    <row r="6" ht="41" customHeight="1">
      <c r="A6" s="21" t="n">
        <v>3</v>
      </c>
      <c r="B6" s="22" t="inlineStr">
        <is>
          <t>Tap 'Mark all' with unread notifications present.</t>
        </is>
      </c>
      <c r="C6" s="22" t="inlineStr">
        <is>
          <t>All notifications are marked read and a confirmation toast appears; the unread count drops to zero.</t>
        </is>
      </c>
      <c r="D6" s="21" t="n"/>
      <c r="E6" s="22" t="inlineStr"/>
    </row>
    <row r="7" ht="50" customHeight="1">
      <c r="A7" s="21" t="n">
        <v>4</v>
      </c>
      <c r="B7" s="22" t="inlineStr">
        <is>
          <t>Tap a single unread notification.</t>
        </is>
      </c>
      <c r="C7" s="22" t="inlineStr">
        <is>
          <t>It is marked read and you are taken to the record or list it refers to (e.g. a lead, ticket, payment, quote, project or a follow-up).</t>
        </is>
      </c>
      <c r="D7" s="21" t="n"/>
      <c r="E7" s="22" t="inlineStr"/>
    </row>
    <row r="8" ht="33" customHeight="1">
      <c r="A8" s="21" t="n">
        <v>5</v>
      </c>
      <c r="B8" s="22" t="inlineStr">
        <is>
          <t>Long-press / open the overflow menu on a notification.</t>
        </is>
      </c>
      <c r="C8" s="22" t="inlineStr">
        <is>
          <t>Options to open the record, toggle read/unread, and delete are offered.</t>
        </is>
      </c>
      <c r="D8" s="21" t="n"/>
      <c r="E8" s="22" t="inlineStr"/>
    </row>
    <row r="9" ht="30" customHeight="1">
      <c r="A9" s="21" t="n">
        <v>6</v>
      </c>
      <c r="B9" s="22" t="inlineStr">
        <is>
          <t>Delete a notification from its menu.</t>
        </is>
      </c>
      <c r="C9" s="22" t="inlineStr">
        <is>
          <t>It is removed from the list and a confirmation toast appears.</t>
        </is>
      </c>
      <c r="D9" s="21" t="n"/>
      <c r="E9" s="22" t="inlineStr"/>
    </row>
    <row r="10" ht="46" customHeight="1">
      <c r="A10" s="21" t="n">
        <v>7</v>
      </c>
      <c r="B10" s="22" t="inlineStr">
        <is>
          <t>Scroll to the bottom of a long notifications list.</t>
        </is>
      </c>
      <c r="C10" s="22" t="inlineStr">
        <is>
          <t>A 'Load N older' control appears and loads more; once everything is loaded, an 'all caught up' message shows instead.</t>
        </is>
      </c>
      <c r="D10" s="21" t="n"/>
      <c r="E10" s="22" t="inlineStr"/>
    </row>
    <row r="11" ht="42" customHeight="1">
      <c r="A11" s="21" t="n">
        <v>8</v>
      </c>
      <c r="B11" s="22" t="inlineStr">
        <is>
          <t>Open Notifications with none present (or filter to Unread with none unread).</t>
        </is>
      </c>
      <c r="C11" s="22" t="inlineStr">
        <is>
          <t>A friendly empty state is shown ('No notifications' / 'No unread notifications'), not a blank screen.</t>
        </is>
      </c>
      <c r="D11" s="21" t="n"/>
      <c r="E11" s="22" t="inlineStr"/>
    </row>
    <row r="12" ht="28" customHeight="1">
      <c r="A12" s="21" t="n">
        <v>9</v>
      </c>
      <c r="B12" s="22" t="inlineStr">
        <is>
          <t>Tap the refresh icon in the Notifications header.</t>
        </is>
      </c>
      <c r="C12" s="22" t="inlineStr">
        <is>
          <t>The list reloads from the server.</t>
        </is>
      </c>
      <c r="D12" s="21" t="n"/>
      <c r="E12" s="22" t="inlineStr"/>
    </row>
    <row r="13" ht="55" customHeight="1">
      <c r="A13" s="21" t="n">
        <v>10</v>
      </c>
      <c r="B13" s="22" t="inlineStr">
        <is>
          <t>Tap a notification whose type links to a list rather than one specific record (e.g. a general payments or tasks update).</t>
        </is>
      </c>
      <c r="C13" s="22" t="inlineStr">
        <is>
          <t>You land on the relevant list screen (e.g. Payments, Tasks, Leads) rather than a single record, since the notification carries no specific record id.</t>
        </is>
      </c>
      <c r="D13" s="21" t="n"/>
      <c r="E13" s="22" t="inlineStr"/>
    </row>
  </sheetData>
  <mergeCells count="2">
    <mergeCell ref="A1:E1"/>
    <mergeCell ref="B3:E3"/>
  </mergeCells>
  <dataValidations count="1">
    <dataValidation sqref="D4 D5 D6 D7 D8 D9 D10 D11 D12 D13" showDropDown="0" showInputMessage="0" showErrorMessage="0" allowBlank="1" type="list">
      <formula1>"Pass,Fail,Blocked,N/A,Not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8"/>
  <sheetViews>
    <sheetView showGridLines="0" workbookViewId="0">
      <pane ySplit="2" topLeftCell="A3" activePane="bottomLeft" state="frozen"/>
      <selection pane="bottomLeft" activeCell="A1" sqref="A1"/>
    </sheetView>
  </sheetViews>
  <sheetFormatPr baseColWidth="8" defaultRowHeight="15"/>
  <cols>
    <col width="7" customWidth="1" min="1" max="1"/>
    <col width="46" customWidth="1" min="2" max="2"/>
    <col width="46" customWidth="1" min="3" max="3"/>
    <col width="12" customWidth="1" min="4" max="4"/>
    <col width="40" customWidth="1" min="5" max="5"/>
  </cols>
  <sheetData>
    <row r="1" ht="22" customHeight="1">
      <c r="A1" s="16" t="inlineStr">
        <is>
          <t>Misc (Cross-Module, Mobile)</t>
        </is>
      </c>
    </row>
    <row r="2" ht="20" customHeight="1">
      <c r="A2" s="17" t="inlineStr">
        <is>
          <t>Sl No</t>
        </is>
      </c>
      <c r="B2" s="17" t="inlineStr">
        <is>
          <t>Action</t>
        </is>
      </c>
      <c r="C2" s="17" t="inlineStr">
        <is>
          <t>Expected Outcome</t>
        </is>
      </c>
      <c r="D2" s="17" t="inlineStr">
        <is>
          <t>Result</t>
        </is>
      </c>
      <c r="E2" s="17" t="inlineStr">
        <is>
          <t>Remarks / Notes</t>
        </is>
      </c>
    </row>
    <row r="3" ht="18" customHeight="1">
      <c r="A3" s="10" t="inlineStr"/>
      <c r="B3" s="18" t="inlineStr">
        <is>
          <t>A. NAVIGATION &amp; LAYOUT</t>
        </is>
      </c>
      <c r="C3" s="19" t="n"/>
      <c r="D3" s="19" t="n"/>
      <c r="E3" s="20" t="n"/>
    </row>
    <row r="4" ht="52" customHeight="1">
      <c r="A4" s="21" t="n">
        <v>1</v>
      </c>
      <c r="B4" s="22" t="inlineStr">
        <is>
          <t>Move between the bottom-nav tabs in each section (CRM, Operations, Helpdesk, Dashboard).</t>
        </is>
      </c>
      <c r="C4" s="22" t="inlineStr">
        <is>
          <t>The bottom nav's items change to match the current section (e.g. Operations shows Home/Projects/Tasks) and each tap opens the right screen.</t>
        </is>
      </c>
      <c r="D4" s="21" t="n"/>
      <c r="E4" s="22" t="inlineStr"/>
    </row>
    <row r="5" ht="37" customHeight="1">
      <c r="A5" s="21" t="n">
        <v>2</v>
      </c>
      <c r="B5" s="22" t="inlineStr">
        <is>
          <t>Use the '+' contextual add button from different screens (Leads, Tasks, Roles, etc.).</t>
        </is>
      </c>
      <c r="C5" s="22" t="inlineStr">
        <is>
          <t>It opens the correct 'add' sheet or screen for whatever list you're currently viewing.</t>
        </is>
      </c>
      <c r="D5" s="21" t="n"/>
      <c r="E5" s="22" t="inlineStr"/>
    </row>
    <row r="6" ht="45" customHeight="1">
      <c r="A6" s="21" t="n">
        <v>3</v>
      </c>
      <c r="B6" s="22" t="inlineStr">
        <is>
          <t>Use the device Back gesture/button repeatedly from deep inside a flow (e.g. Lead &gt; edit &gt; a picker sheet).</t>
        </is>
      </c>
      <c r="C6" s="22" t="inlineStr">
        <is>
          <t>It steps back one level at a time to the previous screen/sheet, ending at the list, not straight out of the app.</t>
        </is>
      </c>
      <c r="D6" s="21" t="n"/>
      <c r="E6" s="22" t="inlineStr"/>
    </row>
    <row r="7" ht="52" customHeight="1">
      <c r="A7" s="21" t="n">
        <v>4</v>
      </c>
      <c r="B7" s="22" t="inlineStr">
        <is>
          <t>Rotate the device to landscape on a couple of key screens (a list and a detail screen).</t>
        </is>
      </c>
      <c r="C7" s="22" t="inlineStr">
        <is>
          <t>The layout adapts and stays usable, or the app is intentionally locked to portrait — confirm which, and that nothing is cut off either way.</t>
        </is>
      </c>
      <c r="D7" s="21" t="n"/>
      <c r="E7" s="22" t="inlineStr"/>
    </row>
    <row r="8" ht="39" customHeight="1">
      <c r="A8" s="21" t="n">
        <v>5</v>
      </c>
      <c r="B8" s="22" t="inlineStr">
        <is>
          <t>Test on a small phone screen and a larger phone/tablet screen.</t>
        </is>
      </c>
      <c r="C8" s="22" t="inlineStr">
        <is>
          <t>Text, buttons and cards remain legible and tappable on both; nothing overlaps or is clipped.</t>
        </is>
      </c>
      <c r="D8" s="21" t="n"/>
      <c r="E8" s="22" t="inlineStr"/>
    </row>
    <row r="9" ht="18" customHeight="1">
      <c r="A9" s="10" t="inlineStr"/>
      <c r="B9" s="18" t="inlineStr">
        <is>
          <t>B. LOADING, EMPTY &amp; ERROR STATES</t>
        </is>
      </c>
      <c r="C9" s="19" t="n"/>
      <c r="D9" s="19" t="n"/>
      <c r="E9" s="20" t="n"/>
    </row>
    <row r="10" ht="38" customHeight="1">
      <c r="A10" s="21" t="n">
        <v>6</v>
      </c>
      <c r="B10" s="22" t="inlineStr">
        <is>
          <t>Open a list screen on a slow connection.</t>
        </is>
      </c>
      <c r="C10" s="22" t="inlineStr">
        <is>
          <t>A skeleton/shimmer loading state is shown while data loads — never a blank white screen.</t>
        </is>
      </c>
      <c r="D10" s="21" t="n"/>
      <c r="E10" s="22" t="inlineStr"/>
    </row>
    <row r="11" ht="35" customHeight="1">
      <c r="A11" s="21" t="n">
        <v>7</v>
      </c>
      <c r="B11" s="22" t="inlineStr">
        <is>
          <t>Open a list that has no records yet (e.g. a brand-new filter with no matches).</t>
        </is>
      </c>
      <c r="C11" s="22" t="inlineStr">
        <is>
          <t>A friendly empty-state message and icon are shown, not a blank area.</t>
        </is>
      </c>
      <c r="D11" s="21" t="n"/>
      <c r="E11" s="22" t="inlineStr"/>
    </row>
    <row r="12" ht="44" customHeight="1">
      <c r="A12" s="21" t="n">
        <v>8</v>
      </c>
      <c r="B12" s="22" t="inlineStr">
        <is>
          <t>Turn off the device's internet connection and open or refresh any list or detail screen.</t>
        </is>
      </c>
      <c r="C12" s="22" t="inlineStr">
        <is>
          <t>A clear 'you're offline' error state with a Retry button is shown; retrying after reconnecting loads the data.</t>
        </is>
      </c>
      <c r="D12" s="21" t="n"/>
      <c r="E12" s="22" t="inlineStr"/>
    </row>
    <row r="13" ht="48" customHeight="1">
      <c r="A13" s="21" t="n">
        <v>9</v>
      </c>
      <c r="B13" s="22" t="inlineStr">
        <is>
          <t>Trigger a server error if possible (e.g. by acting on a stale/deleted record), or note any 5xx you encounter during testing.</t>
        </is>
      </c>
      <c r="C13" s="22" t="inlineStr">
        <is>
          <t>A friendly 'Something went wrong' message with Retry is shown — never a raw technical error or stack trace.</t>
        </is>
      </c>
      <c r="D13" s="21" t="n"/>
      <c r="E13" s="22" t="inlineStr"/>
    </row>
    <row r="14" ht="42" customHeight="1">
      <c r="A14" s="21" t="n">
        <v>10</v>
      </c>
      <c r="B14" s="22" t="inlineStr">
        <is>
          <t>Search for something that does not exist in a few different lists (Leads, Customers, Tickets, Members).</t>
        </is>
      </c>
      <c r="C14" s="22" t="inlineStr">
        <is>
          <t>A clear 'no results' message is shown for each, not a blank or broken screen.</t>
        </is>
      </c>
      <c r="D14" s="21" t="n"/>
      <c r="E14" s="22" t="inlineStr"/>
    </row>
    <row r="15" ht="18" customHeight="1">
      <c r="A15" s="10" t="inlineStr"/>
      <c r="B15" s="18" t="inlineStr">
        <is>
          <t>C. PULL-TO-REFRESH &amp; SUBMIT SAFETY</t>
        </is>
      </c>
      <c r="C15" s="19" t="n"/>
      <c r="D15" s="19" t="n"/>
      <c r="E15" s="20" t="n"/>
    </row>
    <row r="16" ht="38" customHeight="1">
      <c r="A16" s="21" t="n">
        <v>11</v>
      </c>
      <c r="B16" s="22" t="inlineStr">
        <is>
          <t>Pull down to refresh on several list screens (Leads, Customers, Tasks, Tickets, Projects).</t>
        </is>
      </c>
      <c r="C16" s="22" t="inlineStr">
        <is>
          <t>Each shows a refresh spinner and reloads its data consistently.</t>
        </is>
      </c>
      <c r="D16" s="21" t="n"/>
      <c r="E16" s="22" t="inlineStr"/>
    </row>
    <row r="17" ht="61" customHeight="1">
      <c r="A17" s="21" t="n">
        <v>12</v>
      </c>
      <c r="B17" s="22" t="inlineStr">
        <is>
          <t>On a short list that fits on one screen, try to pull-to-refresh.</t>
        </is>
      </c>
      <c r="C17" s="22" t="inlineStr">
        <is>
          <t>The pull-to-refresh gesture still works (or note if a very short/empty list does not respond to the gesture, and confirm whether a header refresh icon is offered instead).</t>
        </is>
      </c>
      <c r="D17" s="21" t="n"/>
      <c r="E17" s="22" t="inlineStr"/>
    </row>
    <row r="18" ht="48" customHeight="1">
      <c r="A18" s="21" t="n">
        <v>13</v>
      </c>
      <c r="B18" s="22" t="inlineStr">
        <is>
          <t>On any Add/Save form, tap the save button twice quickly (double-tap).</t>
        </is>
      </c>
      <c r="C18" s="22" t="inlineStr">
        <is>
          <t>Only one record is created — the button disables itself (shows a spinner) after the first tap so a second tap has no effect.</t>
        </is>
      </c>
      <c r="D18" s="21" t="n"/>
      <c r="E18" s="22" t="inlineStr"/>
    </row>
    <row r="19" ht="18" customHeight="1">
      <c r="A19" s="10" t="inlineStr"/>
      <c r="B19" s="18" t="inlineStr">
        <is>
          <t>D. FILE ATTACHMENTS</t>
        </is>
      </c>
      <c r="C19" s="19" t="n"/>
      <c r="D19" s="19" t="n"/>
      <c r="E19" s="20" t="n"/>
    </row>
    <row r="20" ht="38" customHeight="1">
      <c r="A20" s="21" t="n">
        <v>14</v>
      </c>
      <c r="B20" s="22" t="inlineStr">
        <is>
          <t>Attach a photo to a note/task/ticket using the Photo option.</t>
        </is>
      </c>
      <c r="C20" s="22" t="inlineStr">
        <is>
          <t>The device photo picker opens, and the chosen image uploads and shows against the record.</t>
        </is>
      </c>
      <c r="D20" s="21" t="n"/>
      <c r="E20" s="22" t="inlineStr"/>
    </row>
    <row r="21" ht="45" customHeight="1">
      <c r="A21" s="21" t="n">
        <v>15</v>
      </c>
      <c r="B21" s="22" t="inlineStr">
        <is>
          <t>Attach a document (PDF, etc.) using the File option.</t>
        </is>
      </c>
      <c r="C21" s="22" t="inlineStr">
        <is>
          <t>The device file picker opens, restricted to the types the record's API accepts, and the file uploads successfully.</t>
        </is>
      </c>
      <c r="D21" s="21" t="n"/>
      <c r="E21" s="22" t="inlineStr"/>
    </row>
    <row r="22" ht="50" customHeight="1">
      <c r="A22" s="21" t="n">
        <v>16</v>
      </c>
      <c r="B22" s="22" t="inlineStr">
        <is>
          <t>Try attaching an unusually large file.</t>
        </is>
      </c>
      <c r="C22" s="22" t="inlineStr">
        <is>
          <t>The upload either succeeds with visible progress or fails with a clear size/type message — never a silent freeze.</t>
        </is>
      </c>
      <c r="D22" s="21" t="n"/>
      <c r="E22" s="22" t="inlineStr">
        <is>
          <t>No client-side size cap was found in the code — confirm the actual backend limit and message during testing rather than assuming one.</t>
        </is>
      </c>
    </row>
    <row r="23" ht="18" customHeight="1">
      <c r="A23" s="10" t="inlineStr"/>
      <c r="B23" s="18" t="inlineStr">
        <is>
          <t>E. INPUT LIMITS &amp; ODD INPUT</t>
        </is>
      </c>
      <c r="C23" s="19" t="n"/>
      <c r="D23" s="19" t="n"/>
      <c r="E23" s="20" t="n"/>
    </row>
    <row r="24" ht="48" customHeight="1">
      <c r="A24" s="21" t="n">
        <v>17</v>
      </c>
      <c r="B24" s="22" t="inlineStr">
        <is>
          <t>Enter emoji and non-English text (e.g. Hindi/Arabic) into a few text fields across modules (lead name, note, ticket subject).</t>
        </is>
      </c>
      <c r="C24" s="22" t="inlineStr">
        <is>
          <t>Saved and displayed correctly everywhere, without breaking the layout.</t>
        </is>
      </c>
      <c r="D24" s="21" t="n"/>
      <c r="E24" s="22" t="inlineStr"/>
    </row>
    <row r="25" ht="37" customHeight="1">
      <c r="A25" s="21" t="n">
        <v>18</v>
      </c>
      <c r="B25" s="22" t="inlineStr">
        <is>
          <t>Paste a very long string of text into a single-line field (e.g. a name field).</t>
        </is>
      </c>
      <c r="C25" s="22" t="inlineStr">
        <is>
          <t>The app limits or wraps it sensibly; the layout does not break or overflow off-screen.</t>
        </is>
      </c>
      <c r="D25" s="21" t="n"/>
      <c r="E25" s="22" t="inlineStr"/>
    </row>
    <row r="26" ht="47" customHeight="1">
      <c r="A26" s="21" t="n">
        <v>19</v>
      </c>
      <c r="B26" s="22" t="inlineStr">
        <is>
          <t>Enter letters into a number-only field (e.g. price or quantity) and an impossible date (e.g. 31 Feb) into a date field.</t>
        </is>
      </c>
      <c r="C26" s="22" t="inlineStr">
        <is>
          <t>Bad values are blocked or rejected with a clear message; nothing broken is saved.</t>
        </is>
      </c>
      <c r="D26" s="21" t="n"/>
      <c r="E26" s="22" t="inlineStr"/>
    </row>
    <row r="27" ht="18" customHeight="1">
      <c r="A27" s="10" t="inlineStr"/>
      <c r="B27" s="18" t="inlineStr">
        <is>
          <t>F. DATA SEPARATION BETWEEN COMPANIES</t>
        </is>
      </c>
      <c r="C27" s="19" t="n"/>
      <c r="D27" s="19" t="n"/>
      <c r="E27" s="20" t="n"/>
    </row>
    <row r="28" ht="50" customHeight="1">
      <c r="A28" s="21" t="n">
        <v>20</v>
      </c>
      <c r="B28" s="22" t="inlineStr">
        <is>
          <t>Note the id of a record (e.g. a lead) while signed in to Company A, then sign out and sign in as a user of a different Company B.</t>
        </is>
      </c>
      <c r="C28" s="22" t="inlineStr">
        <is>
          <t>Company B cannot reach or see Company A's record — no cross-company data leak, and nothing from Company A remains cached on screen.</t>
        </is>
      </c>
      <c r="D28" s="21" t="n"/>
      <c r="E28" s="22" t="inlineStr"/>
    </row>
  </sheetData>
  <mergeCells count="7">
    <mergeCell ref="B23:E23"/>
    <mergeCell ref="B9:E9"/>
    <mergeCell ref="B27:E27"/>
    <mergeCell ref="B15:E15"/>
    <mergeCell ref="A1:E1"/>
    <mergeCell ref="B3:E3"/>
    <mergeCell ref="B19:E19"/>
  </mergeCells>
  <dataValidations count="1">
    <dataValidation sqref="D4 D5 D6 D7 D8 D10 D11 D12 D13 D14 D16 D17 D18 D20 D21 D22 D24 D25 D26 D28" showDropDown="0" showInputMessage="0" showErrorMessage="0" allowBlank="1" type="list">
      <formula1>"Pass,Fail,Blocked,N/A,Not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2026-08-31T06:24:04Z</dcterms:created>
  <dcterms:modified xsi:type="dcterms:W3CDTF">2026-09-04T06:42:05Z</dcterms:modified>
</cp:coreProperties>
</file>