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How to Use" sheetId="2" r:id="rId5"/>
    <sheet state="visible" name="1. Onboarding &amp; Login" sheetId="3" r:id="rId6"/>
    <sheet state="visible" name="2. Admin - Users &amp; Teams" sheetId="4" r:id="rId7"/>
    <sheet state="visible" name="3. Roles &amp; Scoping" sheetId="5" r:id="rId8"/>
    <sheet state="visible" name="4. Editing &amp; Audit Log" sheetId="6" r:id="rId9"/>
    <sheet state="visible" name="5. Filters, Columns &amp; Views" sheetId="7" r:id="rId10"/>
    <sheet state="visible" name="6. CRM - Leads" sheetId="8" r:id="rId11"/>
    <sheet state="visible" name="7. Capture &amp; Routing" sheetId="9" r:id="rId12"/>
    <sheet state="visible" name="8. Money Path (Quote-Pay)" sheetId="10" r:id="rId13"/>
    <sheet state="visible" name="9. CRM - Records" sheetId="11" r:id="rId14"/>
    <sheet state="visible" name="10. Project" sheetId="12" r:id="rId15"/>
    <sheet state="visible" name="11. Helpdesk" sheetId="13" r:id="rId16"/>
    <sheet state="visible" name="12. LMS (Training)" sheetId="14" r:id="rId17"/>
    <sheet state="visible" name="13. Automations" sheetId="15" r:id="rId18"/>
    <sheet state="visible" name="14. Goals &amp; Rewards" sheetId="16" r:id="rId19"/>
    <sheet state="visible" name="15. Billing" sheetId="17" r:id="rId20"/>
    <sheet state="visible" name="16. Communications" sheetId="18" r:id="rId21"/>
    <sheet state="visible" name="17. Reports" sheetId="19" r:id="rId22"/>
    <sheet state="visible" name="18. Misc (Cross-Module)" sheetId="20" r:id="rId23"/>
  </sheets>
  <definedNames/>
  <calcPr/>
  <extLst>
    <ext uri="GoogleSheetsCustomDataVersion2">
      <go:sheetsCustomData xmlns:go="http://customooxmlschemas.google.com/" r:id="rId24" roundtripDataChecksum="y1n2EbWwQmxzWcTS/Qd66wLxyJAono/X7EDa0YW9gL4="/>
    </ext>
  </extLst>
</workbook>
</file>

<file path=xl/sharedStrings.xml><?xml version="1.0" encoding="utf-8"?>
<sst xmlns="http://schemas.openxmlformats.org/spreadsheetml/2006/main" count="1632" uniqueCount="1387">
  <si>
    <t>How to use this checklist</t>
  </si>
  <si>
    <t>CLOZR BUSINESS SUITE</t>
  </si>
  <si>
    <t>Sl No</t>
  </si>
  <si>
    <t>This workbook checks that every part of the Clozr Business Suite works before it goes live. You do not need any technical knowledge. Just do what each row says and mark what happened.</t>
  </si>
  <si>
    <t>Action</t>
  </si>
  <si>
    <t>The tabs at the bottom</t>
  </si>
  <si>
    <t>Expected Outcome</t>
  </si>
  <si>
    <t>Result</t>
  </si>
  <si>
    <t>• Cover — fill in your name and details at the top. The results table fills in by itself as you work.</t>
  </si>
  <si>
    <t>• How to Use — this page.</t>
  </si>
  <si>
    <t>Remarks</t>
  </si>
  <si>
    <t>• One tab per area of the app (Onboarding, Admin, CRM, Project, Helpdesk, LMS, Billing, Communications, Reports). The last tab, 'Misc', covers things that affect the whole app.</t>
  </si>
  <si>
    <t>A. COMPANY PROFILE &amp; BRANDING</t>
  </si>
  <si>
    <t>Each test row has five columns</t>
  </si>
  <si>
    <t>• Sl No — the row number.</t>
  </si>
  <si>
    <t>UAT &amp; System Test Checklist  —  Production Release Validation   ·   v4   ·   Backend baseline: Clozr-Version02</t>
  </si>
  <si>
    <t>• Action — what YOU should do in the app.</t>
  </si>
  <si>
    <t>• Expected Outcome — what SHOULD happen if the app is working correctly.</t>
  </si>
  <si>
    <t>• Result — click the cell and pick Pass, Fail, Blocked or N/A from the drop-down.</t>
  </si>
  <si>
    <t>TEST RUN DETAILS</t>
  </si>
  <si>
    <t>• Remarks — write anything you noticed: what went wrong, a screenshot name, or a question.</t>
  </si>
  <si>
    <t>What the Result choices mean</t>
  </si>
  <si>
    <t>Fill in the company profile: logo, brand colours, address, time zone, date format, first day of week, currency.</t>
  </si>
  <si>
    <t>A. SIGN UP A NEW COMPANY (WORKSPACE)</t>
  </si>
  <si>
    <t>• Pass — the app did exactly what the Expected Outcome says.</t>
  </si>
  <si>
    <t>• Fail — the app did something different, showed an error, or nothing happened. Always add a Remark.</t>
  </si>
  <si>
    <t>All values save and show correctly on re-open.</t>
  </si>
  <si>
    <t>Tester name</t>
  </si>
  <si>
    <t>• Blocked — you could not test it (e.g. a needed feature was off, or an earlier step failed). Add a Remark.</t>
  </si>
  <si>
    <t>• N/A — this test does not apply to your setup (e.g. a plan feature you do not have).</t>
  </si>
  <si>
    <t>Cijo George</t>
  </si>
  <si>
    <t>Tips</t>
  </si>
  <si>
    <t>Open the sign-up page and register a new company with a valid name, a web address (subdomain), your name, e-mail and a strong password.</t>
  </si>
  <si>
    <t>• Work top to bottom. The rows follow the natural order a real company would use the app.</t>
  </si>
  <si>
    <t>The company is created. You are told to check your e-mail, or you are taken into the app.</t>
  </si>
  <si>
    <t>Browser &amp; version</t>
  </si>
  <si>
    <t>• Grey rows are section titles, not tests — just skip over them.</t>
  </si>
  <si>
    <t>e.g. Chrome 128</t>
  </si>
  <si>
    <t>• Yellow cells on the Cover are for you to type into.</t>
  </si>
  <si>
    <t>• When you mark a Fail, please note the exact message you saw, and the steps to see it again.</t>
  </si>
  <si>
    <t>Tester role</t>
  </si>
  <si>
    <t>• A few tests are designed to CHECK error handling on purpose — you will be asked to enter wrong or extreme values. A good app should stop you politely; a Fail here means it did not.</t>
  </si>
  <si>
    <t>Backend dev</t>
  </si>
  <si>
    <t>• Rows that begin with 'SETUP:' are preparation steps — do them first, then mark the SETUP row Pass once the data is ready, and continue with the checks below it.</t>
  </si>
  <si>
    <t>Try to sign up again using the SAME company web address (subdomain).</t>
  </si>
  <si>
    <t>Change the company currency (INR / USD / EUR / AED) and save.</t>
  </si>
  <si>
    <t>Device / OS</t>
  </si>
  <si>
    <t>• A few areas (Automations, Goals &amp; Rewards) start with a 'does this area load at all?' check. If it does not load, mark that row Fail, mark the rest of that sheet Blocked, and move on.</t>
  </si>
  <si>
    <t>windows</t>
  </si>
  <si>
    <t>About the tabs, in order</t>
  </si>
  <si>
    <t>Blocked with a clear 'web address already taken' message.</t>
  </si>
  <si>
    <t>The new currency is used where money is shown for new records.</t>
  </si>
  <si>
    <t>• Onboarding, Admin — getting a company and its people set up.</t>
  </si>
  <si>
    <t>Environment / URL</t>
  </si>
  <si>
    <t>Staging - dev.clozr.tech</t>
  </si>
  <si>
    <t>• Roles &amp; Scoping — proves that 'who can see which records' (only me / my team / everyone, etc.) actually works. This is the most important security tab; take your time.</t>
  </si>
  <si>
    <t>• Editing &amp; Audit Log — for each module, change already-saved data and check the change is kept AND recorded in the audit log with before/after.</t>
  </si>
  <si>
    <t>Test start (date &amp; time)</t>
  </si>
  <si>
    <t>• Filters, Columns &amp; Views — extra custom fields, saved filters, default filters, and showing / hiding / re-ordering table columns, and how these carry into lists, imports, routing and automations.</t>
  </si>
  <si>
    <t>Try to sign up with the SAME company name as an existing company.</t>
  </si>
  <si>
    <t>• CRM - Leads, Capture &amp; Routing, Money Path, CRM - Records — leads (incl. territory, do-not-disturb, duplicate rules, score breakdown) through to quotes, customer conversion and payments, tested in detail.</t>
  </si>
  <si>
    <t>Blocked with a clear 'company name already exists' message.</t>
  </si>
  <si>
    <t>Set business hours and turn on 'restrict to business hours'.</t>
  </si>
  <si>
    <t>• Project, Helpdesk, LMS, Automations, Goals &amp; Rewards, Billing, Communications, Reports — one per area.</t>
  </si>
  <si>
    <t>App build / version</t>
  </si>
  <si>
    <t>The setting saves (it later affects lead auto-assignment timing).</t>
  </si>
  <si>
    <t>release-2026-08-21</t>
  </si>
  <si>
    <t>• Misc — whole-app checks and journeys that cross several modules at once.</t>
  </si>
  <si>
    <t>Test end (date &amp; time)</t>
  </si>
  <si>
    <t>• Note: this version is written against the backend branch Clozr-Version02, which includes Automations and Goals &amp; Rewards. A few areas (e.g. the LMS quiz) may be built but not yet switched on in your test build — those tabs start with a 'confirm it is available' check.</t>
  </si>
  <si>
    <t>Try to sign up with a badly-formed e-mail such as 'john@' or 'john.com'.</t>
  </si>
  <si>
    <t>Two important things to watch for everywhere</t>
  </si>
  <si>
    <t>Blocked; e-mail marked not valid. The company is NOT created.</t>
  </si>
  <si>
    <t>• The left-hand menu should never be blank after login. If it is, mark it Fail on the Misc tab.</t>
  </si>
  <si>
    <t>• You should never see a raw technical error, a blank white page, or a loader that never stops. If you do, note it as a Fail with the screen name.</t>
  </si>
  <si>
    <t>Try to sign up with a very weak password such as '123'.</t>
  </si>
  <si>
    <t>RESULTS SUMMARY  (fills in automatically as you mark each sheet)</t>
  </si>
  <si>
    <t>Upload a company logo larger than 10 MB.</t>
  </si>
  <si>
    <t>Blocked; the password rules are shown (length, letters, numbers, special sign).</t>
  </si>
  <si>
    <t>Refused with a clear size message; no hang or crash.</t>
  </si>
  <si>
    <t>Module (sheet)</t>
  </si>
  <si>
    <t>Leave the company name blank and press Sign up.</t>
  </si>
  <si>
    <t>Total</t>
  </si>
  <si>
    <t>Blocked; company name marked as required.</t>
  </si>
  <si>
    <t>Pass</t>
  </si>
  <si>
    <t>Fail</t>
  </si>
  <si>
    <t>Blocked</t>
  </si>
  <si>
    <t>Upload a non-image file renamed to .png as the logo.</t>
  </si>
  <si>
    <t>Type a company name of about 300 letters and sign up.</t>
  </si>
  <si>
    <t>Not Run</t>
  </si>
  <si>
    <t>The app trims sensibly or shows a clear limit message; it does not crash or show a raw error.</t>
  </si>
  <si>
    <t>Rejected as an invalid image with a clear message.</t>
  </si>
  <si>
    <t>% Passed</t>
  </si>
  <si>
    <t>1. Onboarding &amp; Login</t>
  </si>
  <si>
    <t>Set the financial year start month and first day of week, then open a dashboard with a date range.</t>
  </si>
  <si>
    <t>Paste &lt;script&gt;alert(1)&lt;/script&gt; into the company name and sign up.</t>
  </si>
  <si>
    <t>The text is stored as plain words; no pop-up ever appears where the name is later shown.</t>
  </si>
  <si>
    <t>Date ranges and week grouping follow the company settings.</t>
  </si>
  <si>
    <t>B. ACTIVATE THE ACCOUNT (E-MAIL LINK)</t>
  </si>
  <si>
    <t>B. INVITE &amp; MANAGE USERS</t>
  </si>
  <si>
    <t>Open the activation e-mail, click the link and set a password.</t>
  </si>
  <si>
    <t>The password is accepted and the account becomes active.</t>
  </si>
  <si>
    <t>Click the SAME activation link again after the account is already active.</t>
  </si>
  <si>
    <t>Add a new user with name, e-mail and role.</t>
  </si>
  <si>
    <t>Handled gracefully with a clear message; no broken page or raw error.</t>
  </si>
  <si>
    <t>The user is created and an activation e-mail is sent.</t>
  </si>
  <si>
    <t>Wait until the activation link is expired, click it, then use 'resend activation'.</t>
  </si>
  <si>
    <t>The old link is refused; a fresh activation e-mail is sent.</t>
  </si>
  <si>
    <t>Try to add a user with an e-mail ALREADY used by any user in the system.</t>
  </si>
  <si>
    <t>C. LOG IN</t>
  </si>
  <si>
    <t>Blocked; e-mail already in use.</t>
  </si>
  <si>
    <t>Log in with the correct e-mail and password.</t>
  </si>
  <si>
    <t>Signed in; you land on the Dashboard.</t>
  </si>
  <si>
    <t>Open the new user's detail page.</t>
  </si>
  <si>
    <t>Log in with the correct e-mail but a WRONG password.</t>
  </si>
  <si>
    <t>It shows the user's information, role and status.</t>
  </si>
  <si>
    <t>Refused with a clear message that does NOT reveal whether the e-mail exists.</t>
  </si>
  <si>
    <t>Leave both e-mail and password blank and press Log in.</t>
  </si>
  <si>
    <t>Both boxes marked required; no login attempt is made.</t>
  </si>
  <si>
    <t>Deactivate a user, then try to log in as them.</t>
  </si>
  <si>
    <t>Login is refused; the user is inactive.</t>
  </si>
  <si>
    <t>2. Admin - Users &amp; Teams</t>
  </si>
  <si>
    <t>Enter a wrong password 5 times in a row for the same e-mail.</t>
  </si>
  <si>
    <t>After the set number of tries the account is locked with a clear message.</t>
  </si>
  <si>
    <t>While locked, try to log in with the CORRECT password.</t>
  </si>
  <si>
    <t>Re-activate the user and log in.</t>
  </si>
  <si>
    <t>Still refused because the account is locked.</t>
  </si>
  <si>
    <t>The user can log in once active.</t>
  </si>
  <si>
    <t>Wait for the lock time to pass (or ask admin to reset), then log in correctly.</t>
  </si>
  <si>
    <t>Login works again.</t>
  </si>
  <si>
    <t>After being locked and then logging in once correctly, fail again and count the tries.</t>
  </si>
  <si>
    <t>The failed-attempt count was reset by the good login; a fresh set of tries is allowed.</t>
  </si>
  <si>
    <t>Mark a user as non-billable (service account) if available.</t>
  </si>
  <si>
    <t>D. TWO-STEP LOGIN (2FA) — IF TURNED ON</t>
  </si>
  <si>
    <t>Saved as non-billable; does not add to the paid seat count.</t>
  </si>
  <si>
    <t>Turn on two-step login in security settings and complete setup.</t>
  </si>
  <si>
    <t>Two-step login is set up and confirmed.</t>
  </si>
  <si>
    <t>3. Roles &amp; Scoping</t>
  </si>
  <si>
    <t>Log out and log in again with two-step login on.</t>
  </si>
  <si>
    <t>Deactivate a user who OWNS leads and customers, then look at those records.</t>
  </si>
  <si>
    <t>After the password, the app asks for the second code before letting you in.</t>
  </si>
  <si>
    <t>The records are not deleted; ownership is cleared or handled cleanly, not broken.</t>
  </si>
  <si>
    <t>On the second-step screen, type a wrong code.</t>
  </si>
  <si>
    <t>The code is refused; you are not let in.</t>
  </si>
  <si>
    <t>Turn off two-step login.</t>
  </si>
  <si>
    <t>The next login needs only the password.</t>
  </si>
  <si>
    <t>C. TEAMS</t>
  </si>
  <si>
    <t>E. STAYING LOGGED IN / SESSIONS</t>
  </si>
  <si>
    <t>Stay active for more than 30 minutes without logging out.</t>
  </si>
  <si>
    <t>You are not thrown out mid-work; the session stays alive quietly.</t>
  </si>
  <si>
    <t>Create a team with a manager and several members.</t>
  </si>
  <si>
    <t>4. Editing &amp; Audit Log</t>
  </si>
  <si>
    <t>Leave the app idle for the inactivity period set in security policy, then return.</t>
  </si>
  <si>
    <t>The team saves with its manager and members.</t>
  </si>
  <si>
    <t>The app behaves per the inactivity rule; it does not silently keep an unsafe session.</t>
  </si>
  <si>
    <t>Open Settings &gt; Security &gt; Sessions.</t>
  </si>
  <si>
    <t>Your current sign-in is listed with device/browser and last-active time.</t>
  </si>
  <si>
    <t>Try to create a second team with the SAME name.</t>
  </si>
  <si>
    <t>Blocked; team name already exists.</t>
  </si>
  <si>
    <t>Log in from a second browser/device with the same account.</t>
  </si>
  <si>
    <t>The second session appears; both work per the max-sessions rule (default 5).</t>
  </si>
  <si>
    <t>Click Log out, then press browser Back and try to reach an inside page.</t>
  </si>
  <si>
    <t>Remove a member from a team and add a different one.</t>
  </si>
  <si>
    <t>You are sent to the login page, not shown old page content.</t>
  </si>
  <si>
    <t>Membership updates correctly.</t>
  </si>
  <si>
    <t>5. Filters, Columns &amp; Views</t>
  </si>
  <si>
    <t>F. FORGOT PASSWORD</t>
  </si>
  <si>
    <t>Assign a lead to a TEAM (not a person).</t>
  </si>
  <si>
    <t>Use 'Forgot password', enter your e-mail and submit.</t>
  </si>
  <si>
    <t>The lead shows the assigned team.</t>
  </si>
  <si>
    <t>You are told a reset link has been sent (whether or not the e-mail exists).</t>
  </si>
  <si>
    <t>Open the reset e-mail, click the link and set a new password.</t>
  </si>
  <si>
    <t>D. REPORTING HIERARCHY</t>
  </si>
  <si>
    <t>The new password is accepted; you can log in with it.</t>
  </si>
  <si>
    <t>Try the same reset link again, or after it has expired.</t>
  </si>
  <si>
    <t>6. CRM - Leads</t>
  </si>
  <si>
    <t>Refused with a clear message; it cannot be reused.</t>
  </si>
  <si>
    <t>Set a manager for a user from the hierarchy screen.</t>
  </si>
  <si>
    <t>Saved and shown in the hierarchy tree.</t>
  </si>
  <si>
    <t>Request a reset for an e-mail that does NOT exist.</t>
  </si>
  <si>
    <t>The same neutral 'link sent' message appears; it does not reveal the e-mail is unknown.</t>
  </si>
  <si>
    <t>Open the hierarchy tree view.</t>
  </si>
  <si>
    <t>The tree shows who reports to whom.</t>
  </si>
  <si>
    <t>Try to give a user two active managers at the same time.</t>
  </si>
  <si>
    <t>The app keeps only one active manager; the old one is replaced cleanly.</t>
  </si>
  <si>
    <t>7. Capture &amp; Routing</t>
  </si>
  <si>
    <t>Build a chain: A manages B, B manages C. View subordinates for A.</t>
  </si>
  <si>
    <t>A's subordinates include BOTH B and C (the whole chain, not just direct reports).</t>
  </si>
  <si>
    <t>E. AUDIT TRAIL</t>
  </si>
  <si>
    <t>A. BUILD ROLES (module permissions = WHAT you can do)</t>
  </si>
  <si>
    <t>Create a lead, edit a user and change a role, then open the Audit Log.</t>
  </si>
  <si>
    <t>The three actions appear with who did them and when.</t>
  </si>
  <si>
    <t>Create a role and turn ON only View and Export for Leads (Create/Edit/Delete/Import/Approve OFF).</t>
  </si>
  <si>
    <t>Export the audit log (if your role allows).</t>
  </si>
  <si>
    <t>The choices save exactly as set.</t>
  </si>
  <si>
    <t>A file downloads with the audit entries.</t>
  </si>
  <si>
    <t>8. Money Path (Quote-Pay)</t>
  </si>
  <si>
    <t>Assign that role to test user U1, log in as U1 and open Leads.</t>
  </si>
  <si>
    <t>U1 can see and export leads, but Add / Edit / Delete are hidden or blocked.</t>
  </si>
  <si>
    <t>As U1, open the New Lead page by typing its web address directly.</t>
  </si>
  <si>
    <t>Blocked with a clear 'no access' message (server-enforced, not just a hidden button).</t>
  </si>
  <si>
    <t>As U1, find the delete action's address and try to trigger a delete directly.</t>
  </si>
  <si>
    <t>The delete is refused on the server too, not only hidden in the screen.</t>
  </si>
  <si>
    <t>Turn ON Import for Leads for U1's role and reload; try to import.</t>
  </si>
  <si>
    <t>Import is now allowed for U1.</t>
  </si>
  <si>
    <t>9. CRM - Records</t>
  </si>
  <si>
    <t>Give a role Approve on Leads but NOT Edit; check lead conversion approval.</t>
  </si>
  <si>
    <t>The Approve permission works for approvals even though Edit is off.</t>
  </si>
  <si>
    <t>Create a user with NO role and log in.</t>
  </si>
  <si>
    <t>They see almost no menu items and cannot open the gated screens.</t>
  </si>
  <si>
    <t>B. SCOPE = OWNED  (which records you can see)</t>
  </si>
  <si>
    <t>SETUP: Create role 'Owned-Only' with Lead visibility = Owned records. Assign to U2, who is NOT in any team. Create Lead-A owned by U2 and Lead-B owned by someone else. Log in as U2.</t>
  </si>
  <si>
    <t>Setup ready.</t>
  </si>
  <si>
    <t>10. Project</t>
  </si>
  <si>
    <t>As U2, open the Leads list.</t>
  </si>
  <si>
    <t>U2 sees Lead-A (their own) but NOT Lead-B.</t>
  </si>
  <si>
    <t>As U2, open Lead-B directly by its web address.</t>
  </si>
  <si>
    <t>Blocked — U2 cannot open a lead they do not own.</t>
  </si>
  <si>
    <t>As U2, edit Lead-A.</t>
  </si>
  <si>
    <t>Allowed — the owner can always edit their own record.</t>
  </si>
  <si>
    <t>Assign Lead-B to U2 as an ASSIGNEE (keep a different owner). As U2, open the list.</t>
  </si>
  <si>
    <t>Lead-B now also appears for U2 — 'owned' scope also includes records assigned to the user.</t>
  </si>
  <si>
    <t>11. Helpdesk</t>
  </si>
  <si>
    <t>C. SCOPE = OWNED + TEAM OVERLAY  (important hidden behaviour)</t>
  </si>
  <si>
    <t>SETUP: Put U2 into a Team with teammate U3. U3 owns Lead-C. Keep U2's role at 'Owned records'. Log in as U2.</t>
  </si>
  <si>
    <t>As U2 (owned scope) open the Leads list and look for U3's Lead-C.</t>
  </si>
  <si>
    <t>Lead-C IS visible to U2 — being on a team quietly adds teammates' records even under 'owned' scope. Confirm this is intended.</t>
  </si>
  <si>
    <t>Remove U2 from the team and reload the list (allow a few minutes for permissions to refresh).</t>
  </si>
  <si>
    <t>Lead-C disappears for U2 once they are no longer a teammate.</t>
  </si>
  <si>
    <t>12. LMS (Training)</t>
  </si>
  <si>
    <t>D. SCOPE = ASSIGNED / TEAM / HIERARCHY / ALL</t>
  </si>
  <si>
    <t>SETUP: Create role 'Assigned-Only' (Lead = Assigned records), assign to U4 not in a team. Make U4 an assignee on Lead-D only. Log in as U4.</t>
  </si>
  <si>
    <t>As U4 open the Leads list.</t>
  </si>
  <si>
    <t>A. EDITS PERSIST AND ARE AUDITED  (do this for each record type below)</t>
  </si>
  <si>
    <t>U4 sees only leads they are an assignee on (Lead-D), not ones merely owned by others.</t>
  </si>
  <si>
    <t>Edit an existing LEAD: change its name, owner and one custom field; save.</t>
  </si>
  <si>
    <t>13. Automations</t>
  </si>
  <si>
    <t>The changes are saved and still show after you reload the lead.</t>
  </si>
  <si>
    <t>SETUP: Create role 'Team-Scope' (Lead = Team records), assign to U5 who shares a team with U6. U6 owns Lead-E. Log in as U5.</t>
  </si>
  <si>
    <t>Open Admin &gt; Audit Log and find that lead edit.</t>
  </si>
  <si>
    <t>There is an 'update' entry naming WHO edited it and WHEN, and showing the before and after values.</t>
  </si>
  <si>
    <t>Edit an existing CUSTOMER (e.g. status, SLA) and check the audit log.</t>
  </si>
  <si>
    <t>The change persists and an 'update' entry with before/after is recorded.</t>
  </si>
  <si>
    <t>Edit a PRODUCT (e.g. price) and check the audit log.</t>
  </si>
  <si>
    <t>The change persists and is recorded with before/after.</t>
  </si>
  <si>
    <t>As U5 open the Leads list.</t>
  </si>
  <si>
    <t>U5 sees leads owned/assigned by any teammate (including U6's Lead-E).</t>
  </si>
  <si>
    <t>Edit a PROJECT TASK (e.g. status, assignees) and check the audit log.</t>
  </si>
  <si>
    <t>The change persists and is recorded.</t>
  </si>
  <si>
    <t>Edit a HELPDESK TICKET (e.g. priority, status) and check the audit log.</t>
  </si>
  <si>
    <t>SETUP: Create role 'Hierarchy-Scope' (Lead = Hierarchy records) for manager M who manages S1 who manages S2. Log in as M.</t>
  </si>
  <si>
    <t>Edit a QUOTATION (e.g. a line item, notes) and check the audit log.</t>
  </si>
  <si>
    <t>14. Goals &amp; Rewards</t>
  </si>
  <si>
    <t>The change persists and is recorded (unless money is locked — see Money Path).</t>
  </si>
  <si>
    <t>Edit a USER and a ROLE (e.g. rename, change permissions) and check the audit log.</t>
  </si>
  <si>
    <t>Both changes persist and are recorded, including permission changes.</t>
  </si>
  <si>
    <t>As M open the Leads list with M, S1 and S2 each owning a lead.</t>
  </si>
  <si>
    <t>M sees M's, S1's AND S2's leads (own + everyone below, all the way down).</t>
  </si>
  <si>
    <t>B. CREATE &amp; DELETE ARE AUDITED</t>
  </si>
  <si>
    <t>Create a brand-new record (e.g. a lead) and check the audit log.</t>
  </si>
  <si>
    <t>A 'create' entry is recorded for it.</t>
  </si>
  <si>
    <t>SETUP: Create role 'All-Scope' (Lead = All records) for U7. Log in as U7.</t>
  </si>
  <si>
    <t>Delete a record (e.g. a task) and check the audit log.</t>
  </si>
  <si>
    <t>A 'delete' entry is recorded for it.</t>
  </si>
  <si>
    <t>Do a BULK action (e.g. bulk status change on several leads) and check the audit log.</t>
  </si>
  <si>
    <t>The bulk change is recorded.</t>
  </si>
  <si>
    <t>As U7 open the Leads list.</t>
  </si>
  <si>
    <t>U7 sees every lead in the company.</t>
  </si>
  <si>
    <t>15. Billing</t>
  </si>
  <si>
    <t>C. WHAT IS AND IS NOT CAPTURED</t>
  </si>
  <si>
    <t>Just OPEN/VIEW a record without changing anything, then check the audit log.</t>
  </si>
  <si>
    <t>E. SCOPE = FILTERED  (custom condition)</t>
  </si>
  <si>
    <t>Simply viewing is NOT logged — only creates, edits and deletes are.</t>
  </si>
  <si>
    <t>Edit a record that contains a secret/password field (e.g. an integration setting) and open its audit entry.</t>
  </si>
  <si>
    <t>Any secret value is masked in the audit entry, not shown in clear text.</t>
  </si>
  <si>
    <t>SETUP: Create role 'Filtered' with Lead = Filtered records and a condition (e.g. only a chosen source or territory). Assign to U8. Create leads matching and not matching the condition.</t>
  </si>
  <si>
    <t>Log in and log out, then check the audit log.</t>
  </si>
  <si>
    <t>Login and logout are recorded as security events.</t>
  </si>
  <si>
    <t>D. AUDIT ACCESS &amp; EXPORT</t>
  </si>
  <si>
    <t>As U8 open the Leads list.</t>
  </si>
  <si>
    <t>As a user WITHOUT audit permission, try to open the Audit Log.</t>
  </si>
  <si>
    <t>Access is blocked or the menu item is hidden.</t>
  </si>
  <si>
    <t>U8 sees only the leads that match the saved filter condition, and no others.</t>
  </si>
  <si>
    <t>As a permitted user, filter the audit log (by user, by action, by date) and export it.</t>
  </si>
  <si>
    <t>Filtering works and an export file downloads.</t>
  </si>
  <si>
    <t>F. WHEN A USER HAS TWO ROLES (precedence)</t>
  </si>
  <si>
    <t>16. Communications</t>
  </si>
  <si>
    <t>Give one user BOTH an 'Owned records' role and an 'All records' role for Leads. Log in as them.</t>
  </si>
  <si>
    <t>The wider scope wins — they see ALL leads (precedence order: All &gt; Hierarchy &gt; Team &gt; Owned &gt; Assigned &gt; Filtered).</t>
  </si>
  <si>
    <t>Give a user a 'Team' role and a 'Hierarchy' role for Leads.</t>
  </si>
  <si>
    <t>The Hierarchy scope wins over Team (higher precedence).</t>
  </si>
  <si>
    <t>G. EDIT vs VIEW at record level</t>
  </si>
  <si>
    <t>17. Reports</t>
  </si>
  <si>
    <t>Give U9 'View = All' but 'Edit = Owned' for Leads. As U9 open a lead they do NOT own and try to edit it.</t>
  </si>
  <si>
    <t>U9 can open/read it but cannot save changes to a lead they do not own.</t>
  </si>
  <si>
    <t>As that same U9, edit a lead they DO own.</t>
  </si>
  <si>
    <t>Allowed.</t>
  </si>
  <si>
    <t>H. RECORD SHARING (one-off, with expiry)</t>
  </si>
  <si>
    <t>18. Misc (Cross-Module)</t>
  </si>
  <si>
    <t>Share a single lead with a colleague and set an expiry a few minutes ahead.</t>
  </si>
  <si>
    <t>The colleague can open that one lead now.</t>
  </si>
  <si>
    <t>A. CREATE CUSTOM FIELDS (leads)</t>
  </si>
  <si>
    <t>After the expiry passes, the colleague opens the shared lead again.</t>
  </si>
  <si>
    <t>Access is gone; it can no longer be opened.</t>
  </si>
  <si>
    <t>Create a custom lead field of type Text; another Number; another Date; another Checkbox (yes/no); another Dropdown with a few choices.</t>
  </si>
  <si>
    <t>GRAND TOTAL</t>
  </si>
  <si>
    <t>Each field type saves and appears on the lead form.</t>
  </si>
  <si>
    <t>Share a lead with 'view' only (not edit) and have the colleague try to edit it.</t>
  </si>
  <si>
    <t>They can view but not edit the shared lead.</t>
  </si>
  <si>
    <t>Mark the Dropdown field as REQUIRED, then create a lead and leave it blank.</t>
  </si>
  <si>
    <t>I. PERSONAL DATA FILTERS (narrow a single user)</t>
  </si>
  <si>
    <t>Saving is blocked until the required field has a value.</t>
  </si>
  <si>
    <t>On that Dropdown field, type a value that is NOT one of its choices (if possible) and save.</t>
  </si>
  <si>
    <t>Add an 'exclude' data filter for a user on a field (e.g. exclude a region). As that user open the list.</t>
  </si>
  <si>
    <t>Blocked with a message like 'must be one of: ...'.</t>
  </si>
  <si>
    <t>Records in the excluded region are hidden from that user, on top of their role scope.</t>
  </si>
  <si>
    <t>Overall release verdict</t>
  </si>
  <si>
    <t>Go / No-Go</t>
  </si>
  <si>
    <t>In the Number custom field, type letters. In the Date custom field, type an impossible date.</t>
  </si>
  <si>
    <t>Add an 'include' data filter (e.g. only one product). As that user open the list.</t>
  </si>
  <si>
    <t>Signed off by / date</t>
  </si>
  <si>
    <t>Bad values are blocked with clear messages; no broken data is saved.</t>
  </si>
  <si>
    <t>Only records matching the include filter are shown.</t>
  </si>
  <si>
    <t>Set the display ORDER of custom fields and reopen the lead form.</t>
  </si>
  <si>
    <t>J. ADMIN BYPASS &amp; SCOPE ACROSS MODULES</t>
  </si>
  <si>
    <t>The fields appear in the set order.</t>
  </si>
  <si>
    <t>Notes / blockers:</t>
  </si>
  <si>
    <t>Try to create two custom fields with the same name/key.</t>
  </si>
  <si>
    <t>Log in as a System Admin (staff) and open Leads, Customers, Projects.</t>
  </si>
  <si>
    <t>Blocked; the field key must be unique for that record type.</t>
  </si>
  <si>
    <t>The admin sees everything with no scope limits.</t>
  </si>
  <si>
    <t>Turn a custom field to inactive.</t>
  </si>
  <si>
    <t>Repeat the 'Owned records' scope test on CUSTOMERS and on TASKS (not just Leads).</t>
  </si>
  <si>
    <t>It stops appearing on the form for new entries.</t>
  </si>
  <si>
    <t>The same scope rule applies consistently across modules, not only for leads.</t>
  </si>
  <si>
    <t>B. CUSTOM FIELDS IN LISTS, FILTERS, IMPORT/EXPORT</t>
  </si>
  <si>
    <t>Change a user's role, then have them keep using the app WITHOUT reloading for a few minutes.</t>
  </si>
  <si>
    <t>The change may take up to ~5 minutes or a reload to take effect (permissions are cached). Confirm it does apply after that.</t>
  </si>
  <si>
    <t>Turn ON 'show in list' for a custom field, then open the Leads list.</t>
  </si>
  <si>
    <t>The custom field appears as a column you can show.</t>
  </si>
  <si>
    <t>Filter or sort the Leads list by a custom field.</t>
  </si>
  <si>
    <t>The list filters/sorts by the custom field value.</t>
  </si>
  <si>
    <t>Export leads that have custom field values.</t>
  </si>
  <si>
    <t>The exported file includes the custom field columns and values.</t>
  </si>
  <si>
    <t>Import leads from a file that includes a custom field column.</t>
  </si>
  <si>
    <t>The custom values are imported onto the leads; bad values are reported.</t>
  </si>
  <si>
    <t>C. CUSTOM FIELDS FLOWING INTO RULES (cross-feature)</t>
  </si>
  <si>
    <t>Create a routing rule that uses a custom field as a condition, then create a matching lead.</t>
  </si>
  <si>
    <t>The lead is routed based on the custom field value.</t>
  </si>
  <si>
    <t>Create an automation rule that reads a custom field, then DELETE that custom field.</t>
  </si>
  <si>
    <t>The automation is marked invalid / warned (it points to a removed field), rather than silently misbehaving. (If automations are not available, mark N/A and note it.)</t>
  </si>
  <si>
    <t>D. CUSTOM FIELDS ON OTHER RECORDS</t>
  </si>
  <si>
    <t>If the app allows custom fields on records other than leads (e.g. contacts, products), create one and use it.</t>
  </si>
  <si>
    <t>The custom field works on that record the same way. If not available for that record, mark N/A.</t>
  </si>
  <si>
    <t>For Products, create a product extension schema with fields and attach it to a product.</t>
  </si>
  <si>
    <t>The product carries the extra fields and validates them.</t>
  </si>
  <si>
    <t>E. PERSONAL VIEW SETTINGS (columns, sort, filters)</t>
  </si>
  <si>
    <t>On the Leads list, change which columns are shown and their order; change the sort; save the view.</t>
  </si>
  <si>
    <t>Your column choice, order and sort are remembered for you after reload.</t>
  </si>
  <si>
    <t>Log in as a DIFFERENT user and open the same Leads list.</t>
  </si>
  <si>
    <t>The other user sees their OWN view (or the company default), not your personal changes.</t>
  </si>
  <si>
    <t>Set a company DEFAULT view for leads (as admin), then have a user who has not customised anything open the list.</t>
  </si>
  <si>
    <t>That user sees the company default view.</t>
  </si>
  <si>
    <t>A. SET UP LEAD PIPELINE</t>
  </si>
  <si>
    <t>Customise a user's own view, then confirm the source shown is 'custom' vs 'default' for a fresh user.</t>
  </si>
  <si>
    <t>Create lead stages (e.g. New, Qualified, Won, Lost) each with a colour and order.</t>
  </si>
  <si>
    <t>Stages save with colours and order.</t>
  </si>
  <si>
    <t>A customised user is on their own view; an untouched user falls back to the default.</t>
  </si>
  <si>
    <t>Repeat view settings on another record type (e.g. Products or Contacts).</t>
  </si>
  <si>
    <t>Mark one stage default, one 'converted/won', one 'lost'. Try to set a SECOND default.</t>
  </si>
  <si>
    <t>Only one of each is allowed; the second default is blocked.</t>
  </si>
  <si>
    <t>View settings work per record type and per view (list/detail/form), independently.</t>
  </si>
  <si>
    <t>Try to delete a stage that leads are using.</t>
  </si>
  <si>
    <t>Ask for a saved view with an invalid record type or view type (edge input).</t>
  </si>
  <si>
    <t>Blocked; the stage is in use.</t>
  </si>
  <si>
    <t>The app rejects it with a clear message listing the valid choices.</t>
  </si>
  <si>
    <t>Create lead sources, lost reasons and a hierarchical territory (a zone with a sub-zone).</t>
  </si>
  <si>
    <t>F. SAVED FILTERS</t>
  </si>
  <si>
    <t>They save and are available on the lead form.</t>
  </si>
  <si>
    <t>B. CREATE LEADS</t>
  </si>
  <si>
    <t>On the Leads list, apply a few filters and Save them as a named filter.</t>
  </si>
  <si>
    <t>The saved filter appears as a chip/entry you can re-apply.</t>
  </si>
  <si>
    <t>Create a lead with full details: name, company, e-mail, phone with country code, source, owner.</t>
  </si>
  <si>
    <t>Saved and opens with all details correct.</t>
  </si>
  <si>
    <t>Click the saved filter later.</t>
  </si>
  <si>
    <t>The list re-applies exactly those filter conditions.</t>
  </si>
  <si>
    <t>Create a lead with only a first name.</t>
  </si>
  <si>
    <t>Saved; the full name is built from the first name.</t>
  </si>
  <si>
    <t>Try to save a filter with the SAME name as an existing one for the same list.</t>
  </si>
  <si>
    <t>Create a lead with NO first name at all.</t>
  </si>
  <si>
    <t>Blocked with a clear 'a filter with that name already exists' message.</t>
  </si>
  <si>
    <t>Saved; it gets an auto number like LEAD-00001.</t>
  </si>
  <si>
    <t>Try to Save a filter with NO conditions set.</t>
  </si>
  <si>
    <t>Create many auto-named leads quickly (or two at the exact same moment).</t>
  </si>
  <si>
    <t>Blocked; you are asked to add at least one filter first.</t>
  </si>
  <si>
    <t>Each gets a unique number; no two leads share the same auto number.</t>
  </si>
  <si>
    <t>Create two leads with the exact same full name.</t>
  </si>
  <si>
    <t>Save filters until you reach the limit (5 per list), then try to save a 6th.</t>
  </si>
  <si>
    <t>Blocked; lead names are unique within the company.</t>
  </si>
  <si>
    <t>The 6th is blocked with a clear 'limit of 5 reached' message.</t>
  </si>
  <si>
    <t>Enter an e-mail without '@' and a phone with letters.</t>
  </si>
  <si>
    <t>Build a filter on a field, then have an admin remove/rename that field; re-open the saved filter.</t>
  </si>
  <si>
    <t>Bad contact values are blocked or cleaned; obviously broken details are not saved silently.</t>
  </si>
  <si>
    <t>The saved filter is shown as invalid/needs attention rather than silently filtering wrongly.</t>
  </si>
  <si>
    <t>Type a very long description (thousands of characters) and add emoji and non-English letters.</t>
  </si>
  <si>
    <t>Edit an existing saved filter's conditions and save.</t>
  </si>
  <si>
    <t>Saved and shown correctly without breaking the layout.</t>
  </si>
  <si>
    <t>The edit is saved and re-applying uses the new conditions (editing in place is not blocked by the limit).</t>
  </si>
  <si>
    <t>Set the 'unsubscribed' and 'do-not-disturb' flags on a lead.</t>
  </si>
  <si>
    <t>The flags save (outbound tools should later respect them).</t>
  </si>
  <si>
    <t>Log in as a DIFFERENT user and look for your saved filter.</t>
  </si>
  <si>
    <t>Saved filters are private to each user — the other user does not see yours.</t>
  </si>
  <si>
    <t>C. DUPLICATE DETECTION</t>
  </si>
  <si>
    <t>Delete a saved filter.</t>
  </si>
  <si>
    <t>It is removed from your list.</t>
  </si>
  <si>
    <t>Turn on duplicate detection by e-mail, then create a lead with the same e-mail as an existing one.</t>
  </si>
  <si>
    <t>G. DEFAULT / SYSTEM FILTERS</t>
  </si>
  <si>
    <t>The new lead is flagged as a possible duplicate; not silently merged or deleted.</t>
  </si>
  <si>
    <t>Switch duplicate detection to 'phone' and repeat with a matching phone.</t>
  </si>
  <si>
    <t>Open a list and look at the built-in quick filters/tabs (e.g. All / My / Unassigned).</t>
  </si>
  <si>
    <t>The duplicate is detected by phone.</t>
  </si>
  <si>
    <t>The default system filters work and show the right subset.</t>
  </si>
  <si>
    <t>Switch to 'both' and create a lead matching only e-mail, then only phone.</t>
  </si>
  <si>
    <t>Either match flags a duplicate.</t>
  </si>
  <si>
    <t>Open a list fresh (no filter chosen).</t>
  </si>
  <si>
    <t>The list opens on its sensible default view, not an error or a random subset.</t>
  </si>
  <si>
    <t>D. LEAD SCORING (0-100)</t>
  </si>
  <si>
    <t>H. CUSTOM COLUMNS &amp; RE-ARRANGING</t>
  </si>
  <si>
    <t>Open a lead and view its score and the score breakdown.</t>
  </si>
  <si>
    <t>A score 0-100 with a simple breakdown is shown.</t>
  </si>
  <si>
    <t>Open a list and turn some columns ON and others OFF (including a custom field column).</t>
  </si>
  <si>
    <t>The chosen columns show/hide immediately.</t>
  </si>
  <si>
    <t>Add several activities/interactions to a lead, then recalculate scores.</t>
  </si>
  <si>
    <t>The score rises to reflect recent activity and interaction count.</t>
  </si>
  <si>
    <t>Drag to RE-ORDER the columns into a new order.</t>
  </si>
  <si>
    <t>The columns move to the new order.</t>
  </si>
  <si>
    <t>Compare a lead touched today vs one untouched for 2 months after recalculation.</t>
  </si>
  <si>
    <t>The recently-touched lead scores higher (recency and consistency both reward recent activity).</t>
  </si>
  <si>
    <t>Reload the page.</t>
  </si>
  <si>
    <t>Your column choice and order are remembered for you.</t>
  </si>
  <si>
    <t>Select many leads and use 'Recalculate scores'.</t>
  </si>
  <si>
    <t>All selected scores update.</t>
  </si>
  <si>
    <t>Reset the columns to default (if available).</t>
  </si>
  <si>
    <t>The list returns to the default column set.</t>
  </si>
  <si>
    <t>E. LISTS &amp; BULK ACTIONS</t>
  </si>
  <si>
    <t>Have an admin set a company DEFAULT column layout, then a brand-new user opens the list.</t>
  </si>
  <si>
    <t>The new user sees the company default layout until they customise their own.</t>
  </si>
  <si>
    <t>Filter by stage, owner and source; sort by a column; search by name.</t>
  </si>
  <si>
    <t>The list updates correctly for each.</t>
  </si>
  <si>
    <t>Select several leads and Bulk Assign to another owner.</t>
  </si>
  <si>
    <t>All move to the new owner.</t>
  </si>
  <si>
    <t>Select several leads and Bulk Change Status.</t>
  </si>
  <si>
    <t>All change to the new stage.</t>
  </si>
  <si>
    <t>Select several leads and Bulk Delete.</t>
  </si>
  <si>
    <t>They are removed (recoverable if soft-deleted).</t>
  </si>
  <si>
    <t>Bulk archive lost leads (turn on auto-archive lost leads and mark some lost).</t>
  </si>
  <si>
    <t>Lost leads are archived as configured.</t>
  </si>
  <si>
    <t>Select zero leads and press a bulk action.</t>
  </si>
  <si>
    <t>The app does nothing harmful and prompts you to select rows.</t>
  </si>
  <si>
    <t>A. WEBSITE LEAD CAPTURE (WEBHOOK KEY)</t>
  </si>
  <si>
    <t>Page through a very large leads list.</t>
  </si>
  <si>
    <t>Create a website capture key with a source, default owner and default stage.</t>
  </si>
  <si>
    <t>Paging is smooth (100 per page); no freeze or loading everything at once.</t>
  </si>
  <si>
    <t>Created; only the last 4 characters of the secret are shown.</t>
  </si>
  <si>
    <t>F. CONVERSION APPROVAL (deep — see Money Path for the money side)</t>
  </si>
  <si>
    <t>Set 'browser mode' with an allowed website address and submit a test lead from that address.</t>
  </si>
  <si>
    <t>The lead is captured and appears in the leads list with the default source/owner/stage.</t>
  </si>
  <si>
    <t>As a salesperson, raise a conversion approval request with a reason.</t>
  </si>
  <si>
    <t>A pending request is created.</t>
  </si>
  <si>
    <t>Submit from a website address NOT on the allowed list.</t>
  </si>
  <si>
    <t>Rejected.</t>
  </si>
  <si>
    <t>As the SAME salesperson, try to approve your own request.</t>
  </si>
  <si>
    <t>Set 'signed/server mode' and submit WITHOUT the correct signature.</t>
  </si>
  <si>
    <t>Blocked; you cannot approve your own.</t>
  </si>
  <si>
    <t>Submit the signed lead WITH the correct signature.</t>
  </si>
  <si>
    <t>As a peer at the same level (not the manager), try to approve.</t>
  </si>
  <si>
    <t>Captured successfully.</t>
  </si>
  <si>
    <t>Blocked; the approver must be above the requester in the chain.</t>
  </si>
  <si>
    <t>Send more submissions per minute than the key's limit (default 30).</t>
  </si>
  <si>
    <t>Extra submissions that minute are rejected.</t>
  </si>
  <si>
    <t>As the requester's manager (or higher up the chain), approve it.</t>
  </si>
  <si>
    <t>Approved; the lead may convert.</t>
  </si>
  <si>
    <t>Deactivate or revoke the key and submit again.</t>
  </si>
  <si>
    <t>Refused because the key is off.</t>
  </si>
  <si>
    <t>Open the capture history/log.</t>
  </si>
  <si>
    <t>As a grand-manager two levels up, approve a request.</t>
  </si>
  <si>
    <t>Each attempt is listed as Accepted, Rejected or Duplicate with details.</t>
  </si>
  <si>
    <t>Approved — the whole management chain can approve, not only the direct manager.</t>
  </si>
  <si>
    <t>Submit a lead with missing or junk fields.</t>
  </si>
  <si>
    <t>Handled gracefully — captures what it can or rejects with a clear log entry; no crash.</t>
  </si>
  <si>
    <t>Raise a second approval request for the same lead while one is pending.</t>
  </si>
  <si>
    <t>Blocked; only one pending request per lead.</t>
  </si>
  <si>
    <t>Submit a lead that duplicates an existing one (with duplicate detection on).</t>
  </si>
  <si>
    <t>It is logged as Duplicate and flagged.</t>
  </si>
  <si>
    <t>B. META (FACEBOOK / INSTAGRAM) LEAD ADS</t>
  </si>
  <si>
    <t>Give the approver the Approve permission but remove it, then try to approve.</t>
  </si>
  <si>
    <t>Without Approve permission the approval is refused even for a manager.</t>
  </si>
  <si>
    <t>Connect a Meta advertising account (app id, token, page) in Meta Ads settings.</t>
  </si>
  <si>
    <t>The connection saves and shows connected.</t>
  </si>
  <si>
    <t>G. HIERARCHICAL TERRITORY (zone -&gt; sub-zone)</t>
  </si>
  <si>
    <t>Pull leads from Meta (bulk pull) and view the staged leads.</t>
  </si>
  <si>
    <t>Meta leads appear in a staging list, not straight in the pipeline.</t>
  </si>
  <si>
    <t>Create a top territory (zone), then create a sub-zone under it, then a sub-sub-zone.</t>
  </si>
  <si>
    <t>The territory tree is built with parent/child levels.</t>
  </si>
  <si>
    <t>Promote staged Meta leads into real leads.</t>
  </si>
  <si>
    <t>The promoted leads appear in the normal leads list.</t>
  </si>
  <si>
    <t>Assign a lead to a sub-zone.</t>
  </si>
  <si>
    <t>The lead shows the sub-zone; territory-based views/routing can use it.</t>
  </si>
  <si>
    <t>Enter a wrong token or disconnect, then pull leads.</t>
  </si>
  <si>
    <t>A clear connection error is shown, not a broken page.</t>
  </si>
  <si>
    <t>C. AUTOMATIC ROUTING (assignment rules)</t>
  </si>
  <si>
    <t>Move a sub-zone under a different parent zone.</t>
  </si>
  <si>
    <t>The tree updates; the moved branch keeps its own children.</t>
  </si>
  <si>
    <t>Create a routing rule with conditions (e.g. source = Meta) and a target team, with points.</t>
  </si>
  <si>
    <t>The rule saves.</t>
  </si>
  <si>
    <t>Try to delete a territory that leads are using.</t>
  </si>
  <si>
    <t>Blocked with a clear message that it is referenced by existing leads.</t>
  </si>
  <si>
    <t>Try to save a rule with NO target team and NO target role.</t>
  </si>
  <si>
    <t>Blocked; a team or role is required.</t>
  </si>
  <si>
    <t>Try to save a rule with EMPTY conditions.</t>
  </si>
  <si>
    <t>Delete an unused sub-zone.</t>
  </si>
  <si>
    <t>Blocked; conditions are required.</t>
  </si>
  <si>
    <t>It is removed cleanly.</t>
  </si>
  <si>
    <t>Create a lead matching the rule and check who it is assigned to.</t>
  </si>
  <si>
    <t>H. UNSUBSCRIBE &amp; DO-NOT-DISTURB FLAGS</t>
  </si>
  <si>
    <t>Auto-assigned to an eligible person from the matching rule.</t>
  </si>
  <si>
    <t>Open a lead and turn ON 'unsubscribed', then try to send that lead a WhatsApp message.</t>
  </si>
  <si>
    <t>Create two rules with different priorities that both match a lead.</t>
  </si>
  <si>
    <t>The send is BLOCKED with a clear 'recipient has unsubscribed' message.</t>
  </si>
  <si>
    <t>Rules are applied in priority order (lower number first); points add up as designed.</t>
  </si>
  <si>
    <t>Turn ON 'do not disturb' on a lead and try to contact them through each channel (call, WhatsApp, email).</t>
  </si>
  <si>
    <t>Create a lead that matches NO rule.</t>
  </si>
  <si>
    <t>Each outbound channel respects the flag. NOTE whether e-mail sending also blocks/warns — if it does NOT, record it as a finding.</t>
  </si>
  <si>
    <t>The lead is left with a clear 'no match' state, not lost.</t>
  </si>
  <si>
    <t>A. QUOTATION TEMPLATES &amp; SETTINGS</t>
  </si>
  <si>
    <t>Turn the flags back OFF and retry a message.</t>
  </si>
  <si>
    <t>Sending works again once the flags are cleared.</t>
  </si>
  <si>
    <t>Turn on 'restrict to business hours' and create a lead OUTSIDE business hours.</t>
  </si>
  <si>
    <t>Assignment is held as 'pending' and happens when business hours resume.</t>
  </si>
  <si>
    <t>I. DUPLICATE RULES — KEYS, SCOPE &amp; ON-MATCH</t>
  </si>
  <si>
    <t>Upload a quotation template (HTML with placeholders) and define its fields.</t>
  </si>
  <si>
    <t>Set two agents with equal points and send matching leads.</t>
  </si>
  <si>
    <t>Leads are shared fairly — fewest open leads first, then longest wait.</t>
  </si>
  <si>
    <t>The template saves and is available when creating a quotation.</t>
  </si>
  <si>
    <t>D. ROUTING — DEEPER CORNER CASES</t>
  </si>
  <si>
    <t>Open lead rules and set the duplicate MATCH KEYS (e.g. e-mail; then e-mail + phone).</t>
  </si>
  <si>
    <t>The chosen match keys save.</t>
  </si>
  <si>
    <t>Create three rules with different priorities and overlapping conditions; create a lead matching all three.</t>
  </si>
  <si>
    <t>Set the company quotation validity default (7/15/30/60/90 days) and expiry reminder settings.</t>
  </si>
  <si>
    <t>Rules apply in priority order (lower number first) and points accumulate as designed; the winner is the agent with the most points.</t>
  </si>
  <si>
    <t>The settings save.</t>
  </si>
  <si>
    <t>Set the CHECK SCOPE to 'customers only', then create a lead matching an existing CUSTOMER.</t>
  </si>
  <si>
    <t>The match is found against customers per the scope.</t>
  </si>
  <si>
    <t>Two eligible agents end with equal points; one has fewer open leads.</t>
  </si>
  <si>
    <t>The agent with fewer open leads wins the tie.</t>
  </si>
  <si>
    <t>Set the scope to 'leads and customers' and create a lead matching an existing LEAD.</t>
  </si>
  <si>
    <t>The match is found against leads too.</t>
  </si>
  <si>
    <t>Set the quotation number prefix and next number (document numbering).</t>
  </si>
  <si>
    <t>Two eligible agents have equal points AND equal open-lead counts.</t>
  </si>
  <si>
    <t>New quotations use that prefix and sequence.</t>
  </si>
  <si>
    <t>The agent who has waited longest since their last lead wins (round-robin).</t>
  </si>
  <si>
    <t>Set ON-MATCH to 'warn' and create a matching lead.</t>
  </si>
  <si>
    <t>The lead is still created but a duplicate WARNING is shown listing the matches.</t>
  </si>
  <si>
    <t>B. CREATE A QUOTATION</t>
  </si>
  <si>
    <t>Set ON-MATCH to 'block' and create a matching lead.</t>
  </si>
  <si>
    <t>Disable a routing rule, then create a lead that only that rule matched.</t>
  </si>
  <si>
    <t>Creation is BLOCKED because a duplicate exists.</t>
  </si>
  <si>
    <t>The disabled rule is ignored; the lead falls through to the next rule or to 'no match'.</t>
  </si>
  <si>
    <t>Create a quotation on a lead, add several line items with quantity and unit price.</t>
  </si>
  <si>
    <t>Set ON-MATCH to 'merge' and create a matching lead (if merge is offered).</t>
  </si>
  <si>
    <t>The new details merge into the existing record instead of making a second one.</t>
  </si>
  <si>
    <t>Each line total (qty x price) and the grand total are calculated automatically and correctly.</t>
  </si>
  <si>
    <t>Edit a rule's conditions and re-test.</t>
  </si>
  <si>
    <t>The new conditions take effect for new leads.</t>
  </si>
  <si>
    <t>Convert a lead whose details match an existing customer.</t>
  </si>
  <si>
    <t>The resulting customer is flagged as a possible duplicate.</t>
  </si>
  <si>
    <t>Create a lead outside business hours (business-hours restriction ON), then wait for hours to resume.</t>
  </si>
  <si>
    <t>Check the quotation number.</t>
  </si>
  <si>
    <t>J. LEAD SCORE — BREAKDOWN DETAIL</t>
  </si>
  <si>
    <t>The lead stays 'pending' and is auto-assigned within about 15 minutes of business hours resuming.</t>
  </si>
  <si>
    <t>It uses the company prefix and the next number in sequence.</t>
  </si>
  <si>
    <t>E. WEBHOOK &amp; META — EDGE CASES</t>
  </si>
  <si>
    <t>Open a lead's score breakdown and read each part (recency, interactions, deal value, consistency, conversion).</t>
  </si>
  <si>
    <t>Each part shows its own points and a short reason.</t>
  </si>
  <si>
    <t>Create a quotation WITHOUT setting a validity date.</t>
  </si>
  <si>
    <t>Send the SAME signed webhook payload twice.</t>
  </si>
  <si>
    <t>Add up the parts and compare to the total score.</t>
  </si>
  <si>
    <t>The second is treated as a duplicate (logged as Duplicate), not a second lead.</t>
  </si>
  <si>
    <t>The validity date is filled automatically from the company default (e.g. today + 30 days).</t>
  </si>
  <si>
    <t>The parts add up to the total shown (0-100).</t>
  </si>
  <si>
    <t>Exceed the per-minute rate limit, then wait a minute and submit again.</t>
  </si>
  <si>
    <t>Check the supporting numbers in the breakdown (e.g. interaction count in last 90 days, deal value used).</t>
  </si>
  <si>
    <t>The numbers match the lead's real activity and its highest quotation/revenue/product value.</t>
  </si>
  <si>
    <t>Blocked during the burst; accepted again once the minute window resets.</t>
  </si>
  <si>
    <t>Create two quotations at nearly the same time.</t>
  </si>
  <si>
    <t>They get different sequential numbers; no clash.</t>
  </si>
  <si>
    <t>Rotate/replace a webhook key's secret and submit with the OLD signature.</t>
  </si>
  <si>
    <t>The old signature is refused after rotation.</t>
  </si>
  <si>
    <t>Change something that should raise the score (add a recent activity, attach a bigger quotation) and recalculate.</t>
  </si>
  <si>
    <t>The relevant part of the breakdown and the total go up accordingly.</t>
  </si>
  <si>
    <t>Let a Meta page token expire (or revoke it) and let the sync run.</t>
  </si>
  <si>
    <t>The app records a clear connection error and does not crash; reconnecting fixes it.</t>
  </si>
  <si>
    <t>Run Render / Summary / Receipt on the quotation.</t>
  </si>
  <si>
    <t>The final document is produced from the template with values filled in.</t>
  </si>
  <si>
    <t>Map a Meta form field to a CRM field, then pull a lead.</t>
  </si>
  <si>
    <t>The mapped value lands in the correct CRM field on the promoted lead.</t>
  </si>
  <si>
    <t>Enter a negative quantity or a negative unit price on a line item.</t>
  </si>
  <si>
    <t>Blocked or handled sensibly; totals never go wrong silently.</t>
  </si>
  <si>
    <t>C. PAYMENT TYPE = LUMPSUM</t>
  </si>
  <si>
    <t>Create a lumpsum quotation with a due date and accept it (move to the 'accepted/converted' status).</t>
  </si>
  <si>
    <t>One payment record is created for the full amount, due on the quotation due date.</t>
  </si>
  <si>
    <t>Mark that record Paid.</t>
  </si>
  <si>
    <t>The payment plan shows fully paid / completed.</t>
  </si>
  <si>
    <t>D. PAYMENT TYPE = EVEN INSTALLMENTS (rounding matters)</t>
  </si>
  <si>
    <t>Create an even-installment quotation for a total that does NOT divide evenly (e.g. 100 over 3) and accept it.</t>
  </si>
  <si>
    <t>Exactly 3 records are created; they add up to the total, with the LAST record absorbing the rounding (e.g. 33.33, 33.33, 33.34).</t>
  </si>
  <si>
    <t>Add up all installment 'expected' amounts.</t>
  </si>
  <si>
    <t>The sum equals the quotation total exactly, to the last paisa/cent.</t>
  </si>
  <si>
    <t>Check the due dates of the installments.</t>
  </si>
  <si>
    <t>They step forward by the billing period (default 30 days) from today.</t>
  </si>
  <si>
    <t>E. PAYMENT TYPE = SUBSCRIPTION (rolls forward)</t>
  </si>
  <si>
    <t>Create a subscription quotation and accept it.</t>
  </si>
  <si>
    <t>Two payment records are created first (current period + next period).</t>
  </si>
  <si>
    <t>A. CUSTOMERS</t>
  </si>
  <si>
    <t>Mark the current period's record Paid.</t>
  </si>
  <si>
    <t>The next period's record is created automatically — the subscription rolls forward.</t>
  </si>
  <si>
    <t>Open a customer's 360 detail page.</t>
  </si>
  <si>
    <t>It shows the customer's products, quotations, payments, projects and support tickets together.</t>
  </si>
  <si>
    <t>Check that follow-up tasks were created for upcoming periods.</t>
  </si>
  <si>
    <t>Follow-up tasks (and calendar entries) are created for the upcoming due dates.</t>
  </si>
  <si>
    <t>F. PAYMENT TYPE = CUSTOM INSTALLMENTS</t>
  </si>
  <si>
    <t>Set the customer's service level (SLA) as a number and unit (hours/days).</t>
  </si>
  <si>
    <t>Saved; it is later used for that customer's support ticket deadlines.</t>
  </si>
  <si>
    <t>Create a custom-installment quotation and accept it.</t>
  </si>
  <si>
    <t>No installments are pre-created; you add them yourself.</t>
  </si>
  <si>
    <t>Add products to a customer with quantities.</t>
  </si>
  <si>
    <t>Products and quantities save on the customer.</t>
  </si>
  <si>
    <t>Add several custom installments with different amounts and due dates.</t>
  </si>
  <si>
    <t>The quotation/plan total equals the sum of the custom installments.</t>
  </si>
  <si>
    <t>Use Bulk Change Status and Bulk Assign on customers.</t>
  </si>
  <si>
    <t>Selected customers update correctly.</t>
  </si>
  <si>
    <t>G. ACCEPTANCE AUTO-CONVERTS THE LEAD (key behaviour)</t>
  </si>
  <si>
    <t>Set a customer status and confirm the allowed statuses (Active / Completed / Lost / Upsell In Progress).</t>
  </si>
  <si>
    <t>The status saves with the right colour/label.</t>
  </si>
  <si>
    <t>On a lead that is NOT yet a customer, accept its quotation.</t>
  </si>
  <si>
    <t>Accepting the quote automatically converts the lead into a customer AND creates the payment plan.</t>
  </si>
  <si>
    <t>B. CONTACTS</t>
  </si>
  <si>
    <t>Open the new customer after acceptance.</t>
  </si>
  <si>
    <t>The customer carries the lead's details; the quotation(s) and notes/tasks/attachments moved onto the customer.</t>
  </si>
  <si>
    <t>Create a contact with full details and mark it primary.</t>
  </si>
  <si>
    <t>Saved with the primary flag.</t>
  </si>
  <si>
    <t>Accept a quotation on a lead whose stage is NOT set to an 'active' quotation status (edge).</t>
  </si>
  <si>
    <t>Behaviour is consistent with the rule that conversion needs an active quotation; no half-finished state.</t>
  </si>
  <si>
    <t>Add a second contact for the same company and mark IT primary.</t>
  </si>
  <si>
    <t>H. REVERTING AN ACCEPTED QUOTATION (dangerous edit)</t>
  </si>
  <si>
    <t>The primary flag behaves sensibly (only the intended one stays primary).</t>
  </si>
  <si>
    <t>C. PRODUCTS</t>
  </si>
  <si>
    <t>Take an accepted quotation and change its status BACK to a non-accepted one (e.g. Draft).</t>
  </si>
  <si>
    <t>The payment plan, its records and the follow-up tasks created for it are removed cleanly.</t>
  </si>
  <si>
    <t>Create a product with name, code, price and currency.</t>
  </si>
  <si>
    <t>A. PROJECT SETUP</t>
  </si>
  <si>
    <t>Saved.</t>
  </si>
  <si>
    <t>Re-accept the same quotation again.</t>
  </si>
  <si>
    <t>A fresh payment plan is created; there is no leftover duplicate from before.</t>
  </si>
  <si>
    <t>Create project statuses and task statuses, each with a colour and order; mark flags 'closed' and 'cancelled'.</t>
  </si>
  <si>
    <t>They save; a 'cancelled' status must also be 'closed' (the app enforces this).</t>
  </si>
  <si>
    <t>Try to create another product with the SAME code.</t>
  </si>
  <si>
    <t>I. PAYMENT RECORDS — CORNER CASES</t>
  </si>
  <si>
    <t>Blocked; codes are unique.</t>
  </si>
  <si>
    <t>statuses are seeded by default when an org is registered</t>
  </si>
  <si>
    <t>Try to create another product with the same NAME in different letter case (e.g. 'Plan A' vs 'plan a').</t>
  </si>
  <si>
    <t>Open project settings and set defaults (view, priority, visibility) and rules (templates, comments, dependencies, auto-close, auto-archive).</t>
  </si>
  <si>
    <t>All settings save.</t>
  </si>
  <si>
    <t>Blocked; treated as the same name.</t>
  </si>
  <si>
    <t>On a plan with several pending records, pay enough to cover the FULL total early.</t>
  </si>
  <si>
    <t>there is no project settings</t>
  </si>
  <si>
    <t>The plan is marked completed and the remaining pending records (and their tasks) are cancelled automatically.</t>
  </si>
  <si>
    <t>B. PROJECTS</t>
  </si>
  <si>
    <t>Enter a price with many decimals and a large value.</t>
  </si>
  <si>
    <t>Saved and shown correctly, not rounded away or overflowed.</t>
  </si>
  <si>
    <t>Create a project with name, status, priority, dates, manager, members and a linked customer.</t>
  </si>
  <si>
    <t>Saved with all details.</t>
  </si>
  <si>
    <t>A. TICKET SETUP</t>
  </si>
  <si>
    <t>Enter a paid amount LARGER than the amount expected on a record.</t>
  </si>
  <si>
    <t>Handled sensibly (blocked or clearly shows over-payment); the plan maths stays correct.</t>
  </si>
  <si>
    <t>Bulk Activate / Deactivate / Delete products.</t>
  </si>
  <si>
    <t>Create ticket types (each with a default priority) and statuses (mark one default, one resolved, one on-hold).</t>
  </si>
  <si>
    <t>Selected products update correctly.</t>
  </si>
  <si>
    <t>They save; only one default status is allowed.</t>
  </si>
  <si>
    <t>Try another active project with the SAME name.</t>
  </si>
  <si>
    <t>Blocked; active project name must be unique.</t>
  </si>
  <si>
    <t>Enter a paid amount smaller than expected (part payment).</t>
  </si>
  <si>
    <t>blocked during creation with error being dispalyed in the name field</t>
  </si>
  <si>
    <t>The remaining amount is tracked correctly; the record/plan reflects the shortfall.</t>
  </si>
  <si>
    <t>B. RAISE &amp; WORK A TICKET</t>
  </si>
  <si>
    <t>Set a project's visibility to Private, then log in as a non-member.</t>
  </si>
  <si>
    <t>Open a product's 'usage' view before deleting.</t>
  </si>
  <si>
    <t>The non-member cannot see the private project.</t>
  </si>
  <si>
    <t>It shows where the product is used.</t>
  </si>
  <si>
    <t>users of the org can view the project</t>
  </si>
  <si>
    <t>Raise a ticket for a customer (reported-for = Client) with subject, channel (Email/WhatsApp/Phone) and priority.</t>
  </si>
  <si>
    <t>Created with all details.</t>
  </si>
  <si>
    <t>Set an expected end date in the past and leave the project open.</t>
  </si>
  <si>
    <t>Attach a receipt file to a payment record.</t>
  </si>
  <si>
    <t>It shows as Overdue.</t>
  </si>
  <si>
    <t>The file saves against that record.</t>
  </si>
  <si>
    <t>Try to delete a product TYPE that products use.</t>
  </si>
  <si>
    <t>Create a ticket of a type that has a default priority.</t>
  </si>
  <si>
    <t>Blocked; the type is in use.</t>
  </si>
  <si>
    <t>It automatically gets that type's default priority.</t>
  </si>
  <si>
    <t>Archive a project, then create a NEW project reusing its name.</t>
  </si>
  <si>
    <t>The name can be reused once the old one is archived.</t>
  </si>
  <si>
    <t>N/A</t>
  </si>
  <si>
    <t>no priority for type</t>
  </si>
  <si>
    <t>no archive option</t>
  </si>
  <si>
    <t>C. PROGRESS CALCULATION</t>
  </si>
  <si>
    <t>D. TASKS &amp; FOLLOW-UPS</t>
  </si>
  <si>
    <t>Assign the ticket to an agent, then re-assign to a team.</t>
  </si>
  <si>
    <t>Check the plan's 'next due date' after paying one record.</t>
  </si>
  <si>
    <t>Assignment and re-assignment save.</t>
  </si>
  <si>
    <t>It updates to the earliest still-pending record.</t>
  </si>
  <si>
    <t>assignment to an agent is working but no team assignment option</t>
  </si>
  <si>
    <t>Set progress method to 'Task Completion' and mark some tasks complete.</t>
  </si>
  <si>
    <t>The percentage reflects the share of completed lowest-level tasks.</t>
  </si>
  <si>
    <t>Link the ticket to a lead / customer / project.</t>
  </si>
  <si>
    <t>Create one task of each type (Task, Call, Meeting, Email, Deadline) with a due date/time.</t>
  </si>
  <si>
    <t>The linked record shows on the ticket.</t>
  </si>
  <si>
    <t>Each saves with its type and priority.</t>
  </si>
  <si>
    <t>Delete or cancel a single payment record and watch the plan totals.</t>
  </si>
  <si>
    <t>Add sub-tasks under a parent and complete some.</t>
  </si>
  <si>
    <t>The plan recalculates its totals and next due date correctly.</t>
  </si>
  <si>
    <t>Only the lowest-level tasks count; the parent does not double-count.</t>
  </si>
  <si>
    <t>Add comments and attachments.</t>
  </si>
  <si>
    <t>They save and show in order.</t>
  </si>
  <si>
    <t>Task progress is marked as 100 but project progress is not being updated</t>
  </si>
  <si>
    <t>Cancel a task and re-check the percentage.</t>
  </si>
  <si>
    <t>Add a reminder (e.g. 1 hour before) with a near due time.</t>
  </si>
  <si>
    <t>J. VALIDITY, EXPIRY &amp; CURRENCY</t>
  </si>
  <si>
    <t>Cancelled tasks are left out of the percentage entirely.</t>
  </si>
  <si>
    <t>Create a parent ticket and a child ticket under it.</t>
  </si>
  <si>
    <t>The reminder is saved; the tester can later confirm the reminder notification appears.</t>
  </si>
  <si>
    <t>The parent/child link is shown.</t>
  </si>
  <si>
    <t>only linked tasks can be created no parent/child ticekts</t>
  </si>
  <si>
    <t>Switch progress method to 'Manual' and set a number.</t>
  </si>
  <si>
    <t>The manual percentage stays as entered and is not auto-changed.</t>
  </si>
  <si>
    <t>C. SERVICE LEVEL (SLA) — THE KEY BEHAVIOUR</t>
  </si>
  <si>
    <t>no progress edit option</t>
  </si>
  <si>
    <t>Mark a task complete, then try to reopen it.</t>
  </si>
  <si>
    <t>Set a quotation validity date in the PAST.</t>
  </si>
  <si>
    <t>D. TASKS, SUB-TASKS &amp; MULTIPLE ASSIGNEES</t>
  </si>
  <si>
    <t>Completion works; reopen behaves exactly as the task settings allow.</t>
  </si>
  <si>
    <t>Set a customer's SLA (e.g. 4 hours), then raise a ticket for that customer.</t>
  </si>
  <si>
    <t>The ticket deadline is based on that customer's own SLA.</t>
  </si>
  <si>
    <t>The quote is treated as expired or clearly warned; not shown as still valid silently.</t>
  </si>
  <si>
    <t>Create a task with subject, status, priority (Low/Medium/High/Urgent) and due date.</t>
  </si>
  <si>
    <t>Create a follow-up and view Today / Overdue / Upcoming.</t>
  </si>
  <si>
    <t>Change the SAME customer's SLA afterwards and open the earlier ticket.</t>
  </si>
  <si>
    <t>The earlier ticket keeps its original deadline (the SLA was snapshotted when it was raised).</t>
  </si>
  <si>
    <t>It appears in the correct list by date.</t>
  </si>
  <si>
    <t>Add several assignees to one task and set one as the main owner.</t>
  </si>
  <si>
    <t>All assignees save; the main owner stays in the set.</t>
  </si>
  <si>
    <t>no edit/add option for sla</t>
  </si>
  <si>
    <t>doesnt support multiple assignees in the ui</t>
  </si>
  <si>
    <t>Move a ticket into an 'on-hold' status, wait, then move it back.</t>
  </si>
  <si>
    <t>The time spent on hold is added back to the deadline (the clock pauses while on hold).</t>
  </si>
  <si>
    <t>Build a task tree: task -&gt; sub-task -&gt; sub-sub-task.</t>
  </si>
  <si>
    <t>Set a due date/time in the PAST.</t>
  </si>
  <si>
    <t>Create quotations in two different currencies.</t>
  </si>
  <si>
    <t>The tree is built with correct parent/child links.</t>
  </si>
  <si>
    <t>Saved and shown overdue, or warned; no silent broken state.</t>
  </si>
  <si>
    <t>Each quotation keeps its own currency; amounts are not mixed.</t>
  </si>
  <si>
    <t>Put a ticket on hold and off hold twice.</t>
  </si>
  <si>
    <t>All the paused time adds up correctly across multiple holds.</t>
  </si>
  <si>
    <t>Look at a parent task's rolled-up progress bar.</t>
  </si>
  <si>
    <t>It shows progress from its sub-tasks and matches the project bar's logic.</t>
  </si>
  <si>
    <t>Let a ticket pass its deadline without resolving (and not on hold).</t>
  </si>
  <si>
    <t>Turn on 'auto-create a task when a lead is created' and create a lead.</t>
  </si>
  <si>
    <t>It is flagged as breached and its priority is raised to High automatically.</t>
  </si>
  <si>
    <t>E. DEPENDENCIES — ERROR CHECKS</t>
  </si>
  <si>
    <t>A task is created automatically for the new lead.</t>
  </si>
  <si>
    <t>Move a ticket into a 'resolved' status.</t>
  </si>
  <si>
    <t>The resolution date and time are set automatically.</t>
  </si>
  <si>
    <t>Make Task A depend on Task B.</t>
  </si>
  <si>
    <t>Saved (A is blocked by B).</t>
  </si>
  <si>
    <t xml:space="preserve">recorded and resolved tickets cannot be edited </t>
  </si>
  <si>
    <t>Turn on 'auto-close tasks when a deal is won' and win a deal.</t>
  </si>
  <si>
    <t>Send a quotation to the customer (e.g. by e-mail) if that option exists.</t>
  </si>
  <si>
    <t>The related open tasks close automatically.</t>
  </si>
  <si>
    <t>Re-open a resolved ticket.</t>
  </si>
  <si>
    <t>Try to make a task depend on ITSELF.</t>
  </si>
  <si>
    <t>The re-open count goes up by one.</t>
  </si>
  <si>
    <t>The send works or a clear status is shown.</t>
  </si>
  <si>
    <t>E. NOTES</t>
  </si>
  <si>
    <t>Blocked with a clear message.</t>
  </si>
  <si>
    <t xml:space="preserve">the task cannot be blocked on itself 
as the task in not displayed in the dorpdown 
</t>
  </si>
  <si>
    <t>D. BULK, LIST &amp; DASHBOARD</t>
  </si>
  <si>
    <t>K. PRODUCT PRICE CHANGES vs EXISTING QUOTATIONS</t>
  </si>
  <si>
    <t>Try to add the SAME dependency twice.</t>
  </si>
  <si>
    <t>Add a note to a lead, give it a type and pin it.</t>
  </si>
  <si>
    <t>Blocked.</t>
  </si>
  <si>
    <t>Saved; the pinned note stays on top.</t>
  </si>
  <si>
    <t>the same task is not displayed</t>
  </si>
  <si>
    <t>Filter tickets by status, priority and assignee; search by subject.</t>
  </si>
  <si>
    <t>The list updates correctly.</t>
  </si>
  <si>
    <t>Create a loop: A depends on B, B depends on A.</t>
  </si>
  <si>
    <t>Blocked; the loop is refused.</t>
  </si>
  <si>
    <t>the task is not displayed</t>
  </si>
  <si>
    <t>Attach a file to a note and reopen it.</t>
  </si>
  <si>
    <t>Try to depend on a task in another project (with cross-project OFF).</t>
  </si>
  <si>
    <t>Blocked; cross-project dependencies are not allowed unless enabled.</t>
  </si>
  <si>
    <t>Bulk Assign / Change Status / Change Priority / Delete tickets.</t>
  </si>
  <si>
    <t>The attachment saves and can be opened.</t>
  </si>
  <si>
    <t>Create a quotation that uses a product at its current price.</t>
  </si>
  <si>
    <t>Selected tickets update correctly.</t>
  </si>
  <si>
    <t>the cross proejct task is not being displayed</t>
  </si>
  <si>
    <t>Partial</t>
  </si>
  <si>
    <t>The quotation captures that price on its line item.</t>
  </si>
  <si>
    <t>Turn cross-project dependencies ON in settings and retry.</t>
  </si>
  <si>
    <t>no bulk status change, piroity and 
deletion</t>
  </si>
  <si>
    <t>Now allowed within the same company.</t>
  </si>
  <si>
    <t>F. CALLS &amp; TELEPHONY</t>
  </si>
  <si>
    <t>no option for that</t>
  </si>
  <si>
    <t>Open the Helpdesk dashboard / boards.</t>
  </si>
  <si>
    <t>Try to delete a task that another task depends on.</t>
  </si>
  <si>
    <t>Shows counts by status, breached tickets and tickets needing attention.</t>
  </si>
  <si>
    <t>Blocked until the dependency is removed.</t>
  </si>
  <si>
    <t>Now change the PRODUCT's price in the catalogue, then re-open the EXISTING quotation.</t>
  </si>
  <si>
    <t>failed with a clear error message</t>
  </si>
  <si>
    <t>Set up Exotel telephony and an agent number.</t>
  </si>
  <si>
    <t>The existing quotation keeps its original price — it does NOT change under the customer's feet.</t>
  </si>
  <si>
    <t>F. COMPLETION RULES</t>
  </si>
  <si>
    <t>Telephony settings save.</t>
  </si>
  <si>
    <t>E. PARENT &amp; CHILD TICKETS</t>
  </si>
  <si>
    <t>Try to complete a parent task while its sub-tasks are open.</t>
  </si>
  <si>
    <t>Blocked; the app names the sub-tasks that are not done.</t>
  </si>
  <si>
    <t>Create a NEW quotation for the same product after the price change.</t>
  </si>
  <si>
    <t>Make a click-to-call from a lead (if a test line exists) and view the call log.</t>
  </si>
  <si>
    <t>The new quotation prefills/uses the NEW price.</t>
  </si>
  <si>
    <t>Create a parent ticket, then create two child tickets under it.</t>
  </si>
  <si>
    <t>The call is placed and a call log entry is created with direction and duration.</t>
  </si>
  <si>
    <t>The children show their parent; the parent lists its children.</t>
  </si>
  <si>
    <t>Try to complete a task while a task it depends on is still open.</t>
  </si>
  <si>
    <t>Blocked; the app names the blocking task.</t>
  </si>
  <si>
    <t>Check any totals or dashboards that reference the old quotation.</t>
  </si>
  <si>
    <t>Cancel a task even though its sub-tasks are open.</t>
  </si>
  <si>
    <t>Add a note or create a task directly from a call log entry.</t>
  </si>
  <si>
    <t>Cancelling is allowed — not blocked by open sub-tasks.</t>
  </si>
  <si>
    <t>Change a child ticket's status.</t>
  </si>
  <si>
    <t>They still reflect the price the quotation was agreed at, not the new catalogue price.</t>
  </si>
  <si>
    <t>The note/task is created and linked to the call.</t>
  </si>
  <si>
    <t>The child updates; the parent reflects the change per the app's rule (e.g. a roll-up or activity note).</t>
  </si>
  <si>
    <t>G. COLLABORATION &amp; UPDATES</t>
  </si>
  <si>
    <t>L. THE 'INVOICE' = PAID-PAYMENT LOCK  (how billing a quote works)</t>
  </si>
  <si>
    <t>Add a comment to a task, attach a file, and paste an image into the comment box.</t>
  </si>
  <si>
    <t>Turn on call transcription and set scope (All / Admins / Selected users).</t>
  </si>
  <si>
    <t>Comment, file and pasted image all save and show.</t>
  </si>
  <si>
    <t>Try to make a ticket its own parent, or create a parent-child loop.</t>
  </si>
  <si>
    <t>The scope saves; transcription only applies to the chosen people.</t>
  </si>
  <si>
    <t>Blocked; a ticket cannot be its own parent and loops are refused.</t>
  </si>
  <si>
    <t>Check the comment-count badge on a task in the list.</t>
  </si>
  <si>
    <t>The badge shows the correct comment count without opening the task.</t>
  </si>
  <si>
    <t>Confirm the flow: a quotation is created on a LEAD; accepting it creates the customer AND the payment plan.</t>
  </si>
  <si>
    <t>there is no commnt count badge in list view but
 there is one in detail apge and it works</t>
  </si>
  <si>
    <t>After a recorded call, check transcription status and summary.</t>
  </si>
  <si>
    <t>There is no separate 'convert to invoice' step — the accepted quotation plus its payment records ARE the billing record. A quote starts on a lead, not directly on a customer.</t>
  </si>
  <si>
    <t>Resolve all child tickets, then look at the parent.</t>
  </si>
  <si>
    <t>File a project status update as the manager.</t>
  </si>
  <si>
    <t>Status moves Pending -&gt; Processing -&gt; Completed and a transcript/summary appears.</t>
  </si>
  <si>
    <t>The parent's state behaves consistently with its children being done (confirm the intended behaviour).</t>
  </si>
  <si>
    <t>Saved; the manager/members are notified.</t>
  </si>
  <si>
    <t>Turn on 'collect progress' with a schedule and holiday dates.</t>
  </si>
  <si>
    <t>G. MONTHLY GOALS (simple sales target — not the Rewards module)</t>
  </si>
  <si>
    <t>The reminder schedule saves; the tester can later confirm reminders arrive and skip holidays.</t>
  </si>
  <si>
    <t>Delete a parent ticket that has children.</t>
  </si>
  <si>
    <t>On an accepted quotation, mark one payment record as PAID, then try to change the quotation's amounts/line items.</t>
  </si>
  <si>
    <t>The app handles it clearly (blocks, or detaches/rehomes the children) rather than leaving orphans or crashing.</t>
  </si>
  <si>
    <t>H. BULK ACTIONS</t>
  </si>
  <si>
    <t>Money edits are BLOCKED once any payment is recorded as paid (a clear 'recorded payment' message).</t>
  </si>
  <si>
    <t>Set a monthly goal (target number) for a user for the current month.</t>
  </si>
  <si>
    <t>Select several tasks and Bulk Assign / Change Status / Delete.</t>
  </si>
  <si>
    <t>Selected tasks update correctly.</t>
  </si>
  <si>
    <t>Saved for that user and month.</t>
  </si>
  <si>
    <t>On that same quotation with a paid record, try to REVERT its status back to Draft.</t>
  </si>
  <si>
    <t>not implemeted</t>
  </si>
  <si>
    <t>Blocked — you cannot revert an accepted quotation to draft once money has been settled (it would destroy paid history).</t>
  </si>
  <si>
    <t>Bulk import projects from a file (valid + a few bad rows).</t>
  </si>
  <si>
    <t>Valid rows import; bad rows are reported; nothing is silently corrupted.</t>
  </si>
  <si>
    <t>Try a SECOND goal of the same type for the same user and month.</t>
  </si>
  <si>
    <t>Blocked; one goal per user/type/month.</t>
  </si>
  <si>
    <t>On an accepted quotation with NO paid record yet, revert it to Draft.</t>
  </si>
  <si>
    <t>Allowed — with no settled money, the revert works and its payment plan is cleared.</t>
  </si>
  <si>
    <t>Mark a goal recurring and check next month.</t>
  </si>
  <si>
    <t>It carries forward to next month when no new goal is set.</t>
  </si>
  <si>
    <t>M. EDIT A QUOTATION BEFORE PAYMENT</t>
  </si>
  <si>
    <t>Compare achievement against target on the dashboard.</t>
  </si>
  <si>
    <t>Before any payment is recorded, edit a draft quotation's line items and totals.</t>
  </si>
  <si>
    <t>Achievement is shown against target correctly.</t>
  </si>
  <si>
    <t>The edits save and the totals recompute; the change is recorded in the audit log.</t>
  </si>
  <si>
    <t>H. SECOND CONTACT FOR A CUSTOMER / LEAD</t>
  </si>
  <si>
    <t>Open a customer and add a first contact person; mark them as the primary contact.</t>
  </si>
  <si>
    <t>The contact is attached to the customer and shown as primary.</t>
  </si>
  <si>
    <t>Add a SECOND contact person to the same customer.</t>
  </si>
  <si>
    <t>Both contacts are attached to the customer.</t>
  </si>
  <si>
    <t>Mark the second contact as primary.</t>
  </si>
  <si>
    <t>Only one contact stays primary — the primary flag moves to the second, and the first is no longer primary.</t>
  </si>
  <si>
    <t>Remove one contact from the customer.</t>
  </si>
  <si>
    <t>Only that contact is removed; the other stays attached.</t>
  </si>
  <si>
    <t>For a LEAD, check how contact details are held.</t>
  </si>
  <si>
    <t>A lead carries its own single set of contact details (name, e-mail, phone). Note that multiple separate contact people are a Customer concept, not a Lead one.</t>
  </si>
  <si>
    <t>A. BUILD A COURSE (admin)</t>
  </si>
  <si>
    <t>Create a course with title, description, thumbnail; add modules; add a video and a PDF to a module.</t>
  </si>
  <si>
    <t>All save in order.</t>
  </si>
  <si>
    <t>Upload a very large video.</t>
  </si>
  <si>
    <t>Upload works (or shows clear progress/limit); the video plays after processing.</t>
  </si>
  <si>
    <t>A. CONFIRM THIS BUILD INCLUDES AUTOMATIONS</t>
  </si>
  <si>
    <t>Try to save a course with no title.</t>
  </si>
  <si>
    <t>Blocked; title required.</t>
  </si>
  <si>
    <t>Open the Automations section from the menu and confirm the rule list loads.</t>
  </si>
  <si>
    <t>Mark the course Sequential, Mandatory and set a deadline.</t>
  </si>
  <si>
    <t>The rule list opens and loads. (If this build does not include the module yet, it will error or be missing — mark FAIL, note the build, and mark the rest Blocked.)</t>
  </si>
  <si>
    <t>Publish the course, then set it back to Draft.</t>
  </si>
  <si>
    <t>Publish/draft changes correctly; only published courses are visible to learners.</t>
  </si>
  <si>
    <t>Open the 'new rule' builder.</t>
  </si>
  <si>
    <t>The builder opens with Trigger, Condition and Action sections.</t>
  </si>
  <si>
    <t>B. ASSIGN &amp; ENROL</t>
  </si>
  <si>
    <t>B. TRIGGER — EVENTS &amp; SCHEDULES</t>
  </si>
  <si>
    <t>Assign the course to specific users, then to a whole role, then to everyone (universal).</t>
  </si>
  <si>
    <t>Each method enrols the right learners.</t>
  </si>
  <si>
    <t>Create a rule with an EVENT trigger on Lead for 'create'. Set it Active. Create a matching lead.</t>
  </si>
  <si>
    <t>The rule runs and its action is applied to the new lead.</t>
  </si>
  <si>
    <t>Set a per-learner deadline different from the course deadline.</t>
  </si>
  <si>
    <t>The learner's own deadline overrides the course deadline.</t>
  </si>
  <si>
    <t>Change the trigger to fire on 'update' and watch a SPECIFIC field (e.g. status). Edit a lead's status.</t>
  </si>
  <si>
    <t>The rule fires. Now edit a DIFFERENT field on another lead — the rule does NOT fire (it only fires when the watched field changes).</t>
  </si>
  <si>
    <t>C. LEARNER EXPERIENCE</t>
  </si>
  <si>
    <t>Create a SCHEDULE trigger and pick a frequency (hourly / daily / weekly / monthly).</t>
  </si>
  <si>
    <t>Log in as a learner, open My Trainings and start a video.</t>
  </si>
  <si>
    <t>The scheduled rule saves and shows a next-run time.</t>
  </si>
  <si>
    <t>The video plays.</t>
  </si>
  <si>
    <t>Watch part of a video, leave, and return later.</t>
  </si>
  <si>
    <t>Try each trigger model offered (e.g. Lead, Customer, Task, Quotation).</t>
  </si>
  <si>
    <t>Playback resumes where you stopped.</t>
  </si>
  <si>
    <t>Each allowed model can be chosen as the trigger.</t>
  </si>
  <si>
    <t>C. CONDITIONS</t>
  </si>
  <si>
    <t>Finish all videos in a course.</t>
  </si>
  <si>
    <t>The course shows Completed (100%).</t>
  </si>
  <si>
    <t>Add a condition on a normal field (e.g. Lead source is one value).</t>
  </si>
  <si>
    <t>The condition saves; the live preview shows how many records match now.</t>
  </si>
  <si>
    <t>Let a course deadline pass without finishing.</t>
  </si>
  <si>
    <t>The course shows Overdue for that learner.</t>
  </si>
  <si>
    <t>Combine two conditions with AND, then switch the group to OR.</t>
  </si>
  <si>
    <t>For a Sequential course, try to jump ahead before finishing earlier videos.</t>
  </si>
  <si>
    <t>AND needs all, OR needs any; the preview count changes to match.</t>
  </si>
  <si>
    <t>Blocked; you must go in order.</t>
  </si>
  <si>
    <t>D. MANDATORY COURSE (access block)</t>
  </si>
  <si>
    <t>Use an operator that takes a LIST of values (e.g. 'is one of') and pick several.</t>
  </si>
  <si>
    <t>Multiple values are accepted.</t>
  </si>
  <si>
    <t>Assign a Mandatory course to a test user and log in as them.</t>
  </si>
  <si>
    <t>The mandatory course is clearly flagged; confirm whether access to the rest of the app is blocked as intended.</t>
  </si>
  <si>
    <t>Use a date-based condition (e.g. created in the last N days).</t>
  </si>
  <si>
    <t>The date condition works in the preview.</t>
  </si>
  <si>
    <t>E. QUIZZES</t>
  </si>
  <si>
    <t>Add a quiz with single-choice, multiple-choice and true/false questions; set a pass mark and max attempts.</t>
  </si>
  <si>
    <t>Use a CUSTOM field as a condition.</t>
  </si>
  <si>
    <t>The quiz saves with all question types.</t>
  </si>
  <si>
    <t>The custom field is offered and can be used in a condition.</t>
  </si>
  <si>
    <t>custom field isbeing passed as uuid in the payload 
{
    "code": 400,
    "message": "Validation Error",
    "errors": {
        "condition": [
            "Unknown field 'cf:b282386a-96f4-44a5-b49c-5df4912c56f9' for model 'lead'."
        ]
    }
}</t>
  </si>
  <si>
    <t>As a learner, pass the quiz.</t>
  </si>
  <si>
    <t>Score is calculated and shown; a passing score is marked passed.</t>
  </si>
  <si>
    <t>Leave the condition empty (match all) and check the preview.</t>
  </si>
  <si>
    <t>An empty condition matches every record of that model; the preview shows the full count.</t>
  </si>
  <si>
    <t>Fail and retake up to the attempt limit, then try once more.</t>
  </si>
  <si>
    <t>Retakes work up to the limit; the extra attempt is blocked.</t>
  </si>
  <si>
    <t>D. ACTIONS  (only two kinds — no delete)</t>
  </si>
  <si>
    <t>Start a timed quiz and let the time run out.</t>
  </si>
  <si>
    <t>Add an 'update fields' action that sets a value on the triggering record, and save.</t>
  </si>
  <si>
    <t>The quiz ends when time is up and is scored on what was answered.</t>
  </si>
  <si>
    <t>The action saves; the rule becomes valid and saveable.</t>
  </si>
  <si>
    <t>F. REMINDERS &amp; ADMIN VIEW</t>
  </si>
  <si>
    <t>Add a 'create row' action that creates a related record, and save.</t>
  </si>
  <si>
    <t>The create action saves.</t>
  </si>
  <si>
    <t>As admin, 'nudge' a learner.</t>
  </si>
  <si>
    <t>The learner gets a nudge notification.</t>
  </si>
  <si>
    <t>Look for any action that DELETES records.</t>
  </si>
  <si>
    <t>There is NO delete action — automations can only create or update, never delete. Confirm delete is not offered.</t>
  </si>
  <si>
    <t>Open the training dashboard and learners list.</t>
  </si>
  <si>
    <t>Completion and progress across learners are shown correctly.</t>
  </si>
  <si>
    <t>Save a rule that has a trigger but NO valid action.</t>
  </si>
  <si>
    <t>The app warns the rule is not complete/saveable until an action is added.</t>
  </si>
  <si>
    <t>Log in as a normal staff user and try to open the training admin screens (course builder, learners).</t>
  </si>
  <si>
    <t>The admin-only training screens are hidden or blocked for staff users.</t>
  </si>
  <si>
    <t>Add an 'update fields' action with an EMPTY set of fields.</t>
  </si>
  <si>
    <t>G. QUIZ / QUESTIONNAIRE — CONFIRM IT IS AVAILABLE FIRST</t>
  </si>
  <si>
    <t>Blocked; an update action needs at least one field to set.</t>
  </si>
  <si>
    <t>the ui doesnt allow that</t>
  </si>
  <si>
    <t>From a published course, look for the Quiz/Questionnaire section as a learner and as an admin.</t>
  </si>
  <si>
    <t>E. RUN, PRIORITY &amp; TIMING</t>
  </si>
  <si>
    <t>Confirm the quiz feature is actually reachable in THIS build. (If quizzes are modelled but not yet exposed in the app, mark FAIL/N-A and note it — then skip the quiz rows in section E.)</t>
  </si>
  <si>
    <t>Set a rule to Paused or Draft and trigger its event.</t>
  </si>
  <si>
    <t>As an admin, add a quiz to a course with a mix of single-choice, multiple-choice and true/false questions and set points per question.</t>
  </si>
  <si>
    <t>The rule does NOT run — only Active rules run.</t>
  </si>
  <si>
    <t>The quiz saves with all question types and per-question points.</t>
  </si>
  <si>
    <t>Set a pass mark, a max number of attempts, and a time limit.</t>
  </si>
  <si>
    <t>After triggering an event rule, watch how quickly the action is applied.</t>
  </si>
  <si>
    <t>All three save.</t>
  </si>
  <si>
    <t>The action applies a short moment AFTER the change is saved (rules run in the background), not necessarily instantly. Confirm it does apply.</t>
  </si>
  <si>
    <t>after 30secs</t>
  </si>
  <si>
    <t>As a learner, submit a quiz with the correct answers.</t>
  </si>
  <si>
    <t>Create two ACTIVE rules that both set the SAME field on the same record, with different priorities.</t>
  </si>
  <si>
    <t>The score is calculated from the per-question points and marked passed if it meets the pass mark.</t>
  </si>
  <si>
    <t>The higher-priority rule (lower number) wins the field; both runs are logged.</t>
  </si>
  <si>
    <t>Submit a multiple-choice question with only SOME of the correct options.</t>
  </si>
  <si>
    <t>It is scored per the app's rule for partial answers (confirm the intended behaviour).</t>
  </si>
  <si>
    <t>Use up all attempts, then try again; also let the timer expire mid-attempt.</t>
  </si>
  <si>
    <t>Extra attempts beyond the limit are blocked; an expired timer auto-submits and scores what was answered.</t>
  </si>
  <si>
    <t>Try to give two rules the SAME priority number.</t>
  </si>
  <si>
    <t>Blocked; each rule must have a unique priority in the company.</t>
  </si>
  <si>
    <t>Try to create two rules with the same NAME.</t>
  </si>
  <si>
    <t>Blocked; rule names are unique in the company.</t>
  </si>
  <si>
    <t xml:space="preserve">no error handeling in the forntend </t>
  </si>
  <si>
    <t>A. CONFIRM THIS BUILD INCLUDES GOALS &amp; REWARDS</t>
  </si>
  <si>
    <t>F. EXECUTION LOG &amp; EXACTLY-ONCE</t>
  </si>
  <si>
    <t>Open the execution logs after some runs.</t>
  </si>
  <si>
    <t>Each run is listed as Applied / Skipped (no match) / Failed, with how many records were affected and what changed.</t>
  </si>
  <si>
    <t>Open Goals &amp; Rewards &gt; My Progress and confirm it loads.</t>
  </si>
  <si>
    <t>The screen opens and shows progress. (If this build does not include the module yet, it will error or be missing — mark FAIL, note the build, and mark the rest Blocked.)</t>
  </si>
  <si>
    <t>Trigger the exact same event twice for the same record (e.g. a duplicate save).</t>
  </si>
  <si>
    <t>The rule applies only once for that event — it is not double-applied.</t>
  </si>
  <si>
    <t>Open a run's details.</t>
  </si>
  <si>
    <t>Open My Team and Approvals (visible only to managers / approvers).</t>
  </si>
  <si>
    <t>It shows the before/after of each changed field for the affected records.</t>
  </si>
  <si>
    <t>Each opens for the right people; a person with no team does not see My Team; a non-approver does not see Approvals.</t>
  </si>
  <si>
    <t>G. SAFETY — FAILURES, CIRCUIT-BREAKER, BIG RUNS</t>
  </si>
  <si>
    <t>B. CREATE A MILESTONE (admin/exec only)</t>
  </si>
  <si>
    <t>Make a rule fail on purpose (e.g. an action that cannot complete) FIVE times in a row.</t>
  </si>
  <si>
    <t>A. PLANS &amp; WHAT THEY UNLOCK</t>
  </si>
  <si>
    <t>After 5 failures in a row the rule auto-pauses itself (a safety circuit-breaker), instead of failing forever.</t>
  </si>
  <si>
    <t>not displaying why it failed</t>
  </si>
  <si>
    <t>Fix the rule and let it succeed once.</t>
  </si>
  <si>
    <t>The failure count resets to zero; the rule can run normally again.</t>
  </si>
  <si>
    <t>Create a one-shot milestone with a measure, a target and a reward description; save as Draft, then Activate.</t>
  </si>
  <si>
    <t>It saves as Draft and can be activated.</t>
  </si>
  <si>
    <t>Open Billing and view the plans with monthly and yearly prices.</t>
  </si>
  <si>
    <t>Have TWO active rules where one fails and one succeeds on the same event.</t>
  </si>
  <si>
    <t>Plans and prices are shown clearly.</t>
  </si>
  <si>
    <t>The failing rule's error does not stop the other rule — a bad rule never blocks the rest.</t>
  </si>
  <si>
    <t>Create a SCHEDULE rule whose condition matches a very large number of records.</t>
  </si>
  <si>
    <t>Try each measure: Won Deal Value, Deals Won Count, Conversions Count, Cash Collected.</t>
  </si>
  <si>
    <t>It processes a capped batch per run (a safety limit, around 5000 rows) rather than trying everything at once; note if more remain.</t>
  </si>
  <si>
    <t>Each measure can be chosen; money measures show currency, count measures show a number.</t>
  </si>
  <si>
    <t>H. EDIT, VERSIONS &amp; VALIDITY</t>
  </si>
  <si>
    <t>View the current subscription and included features.</t>
  </si>
  <si>
    <t>The current plan, status and included features are shown.</t>
  </si>
  <si>
    <t>Edit an active rule's conditions and save.</t>
  </si>
  <si>
    <t>Create a repeatable milestone and pick a period (weekly / monthly / bimonthly / quarterly / half-yearly / yearly / custom).</t>
  </si>
  <si>
    <t>The edit saves; a new version is recorded; older execution logs still show which version ran.</t>
  </si>
  <si>
    <t>Features are not displayed</t>
  </si>
  <si>
    <t>The repeatable milestone saves with its period.</t>
  </si>
  <si>
    <t>no version indication</t>
  </si>
  <si>
    <t>Create a rule that uses a custom field, then DELETE that custom field.</t>
  </si>
  <si>
    <t>On a plan WITHOUT WhatsApp (or Projects / Quotations / LMS), try to use that feature.</t>
  </si>
  <si>
    <t>The rule is marked invalid with a warning (it points to a removed field); it stops acting rather than misbehaving silently.</t>
  </si>
  <si>
    <t>Blocked with a clear message and an upgrade prompt — not a broken page.</t>
  </si>
  <si>
    <t>test 11</t>
  </si>
  <si>
    <t>Create one repeatable WITH expiry and one WITHOUT expiry; let a period roll over.</t>
  </si>
  <si>
    <t>Delete a rule.</t>
  </si>
  <si>
    <t>'With expiry' resets progress to zero each new period; 'without expiry' keeps one running lifetime total. Confirm both behave that way.</t>
  </si>
  <si>
    <t>The rule is removed from the list.</t>
  </si>
  <si>
    <t>no option</t>
  </si>
  <si>
    <t>Upgrade to a plan that includes the feature, then use it.</t>
  </si>
  <si>
    <t>The feature becomes available after upgrade.</t>
  </si>
  <si>
    <t>Filter the rules list by status (Active/Paused/Draft) and by model; search by name.</t>
  </si>
  <si>
    <t>The list and the status-tab counts update correctly.</t>
  </si>
  <si>
    <t>Add a condition to a milestone (e.g. only deals from a chosen source).</t>
  </si>
  <si>
    <t>Only matching events count. Confirm the builder does NOT offer owner/assignee fields or 'relative time' functions for milestone conditions.</t>
  </si>
  <si>
    <t>I. MORE CORNER CASES</t>
  </si>
  <si>
    <t>On a plan with a user limit, try to add one more user than allowed.</t>
  </si>
  <si>
    <t>Rename a custom field that an active rule uses (instead of deleting it).</t>
  </si>
  <si>
    <t>Blocked or clearly warned that the seat limit is reached.</t>
  </si>
  <si>
    <t>The rule keeps working if the field still exists under the hood, or is flagged if the reference breaks — it does not silently act on the wrong field.</t>
  </si>
  <si>
    <t>Try to create two milestones with the same NAME.</t>
  </si>
  <si>
    <t>Blocked; milestone names are unique in the company.</t>
  </si>
  <si>
    <t>B. TRIAL &amp; MANDATE</t>
  </si>
  <si>
    <t>Create a 'create row' action that makes a related record (e.g. a task when a lead is created) and trigger it.</t>
  </si>
  <si>
    <t>The related record is created with the values you set.</t>
  </si>
  <si>
    <t>C. WHO GETS THE CREDIT — FROZEN OWNER (key behaviour)</t>
  </si>
  <si>
    <t>Confirm a scheduled rule actually fires on its stated frequency (hourly/daily/weekly/monthly).</t>
  </si>
  <si>
    <t>The rule runs at about the right time and the next-run time advances.</t>
  </si>
  <si>
    <t>Start a free trial for a new company.</t>
  </si>
  <si>
    <t>The trial starts and its end date is shown.</t>
  </si>
  <si>
    <t>With Anna owning a lead, win a qualifying deal on it. Then change the lead's OWNER to Bob. Check whose milestone the win counted toward.</t>
  </si>
  <si>
    <t>If a global 'pause all automations' switch exists, turn it on and trigger events.</t>
  </si>
  <si>
    <t>The credit stays with ANNA — the owner at the moment the deal was won. Re-assigning the lead afterwards does NOT move the credit to Bob.</t>
  </si>
  <si>
    <t>No rules run while globally paused; turning it off resumes them.</t>
  </si>
  <si>
    <t>Check whether the trial needs a payment mandate before it activates.</t>
  </si>
  <si>
    <t>Bump a rule's priority number up and down and confirm conflict-winner changes.</t>
  </si>
  <si>
    <t>The lower-numbered rule always wins when two rules set the same field.</t>
  </si>
  <si>
    <t>If required, the app asks for a mandate and does not fully activate until it is verified.</t>
  </si>
  <si>
    <t>Win a qualifying deal on a lead that has NO owner.</t>
  </si>
  <si>
    <t>The event is recorded but credited to no one (it does not wrongly credit whoever touched it).</t>
  </si>
  <si>
    <t>Let a trial reach its end date.</t>
  </si>
  <si>
    <t>The trial ends and the company moves to the correct next state (grace or suspended).</t>
  </si>
  <si>
    <t>Count the same business event twice (e.g. a duplicate save of the won deal).</t>
  </si>
  <si>
    <t>It counts only ONCE toward the milestone — no double counting.</t>
  </si>
  <si>
    <t>C. PAYMENT MANDATE (RAZORPAY)</t>
  </si>
  <si>
    <t>D. PROGRESS &amp; TIMING (updates on a schedule, not instantly)</t>
  </si>
  <si>
    <t>Start setting up a mandate (UPI / Card / e-Mandate).</t>
  </si>
  <si>
    <t>The payment page opens; a small authorisation charge (about 1 rupee) is taken.</t>
  </si>
  <si>
    <t>As a participant, win a qualifying deal and watch My Progress.</t>
  </si>
  <si>
    <t>The progress value climbs toward the target. It may take a short while to update because progress refreshes on a schedule (every few hours), not instantly.</t>
  </si>
  <si>
    <t>Complete the mandate and return.</t>
  </si>
  <si>
    <t>The mandate shows active/verified and the subscription updates.</t>
  </si>
  <si>
    <t>Change the milestone's refresh cadence (3 / 6 / 12 / 24 hours) for a NEW milestone.</t>
  </si>
  <si>
    <t>New milestones use the chosen cadence.</t>
  </si>
  <si>
    <t>Cancel the mandate.</t>
  </si>
  <si>
    <t>The mandate is cancelled and the app reflects it.</t>
  </si>
  <si>
    <t>Reach the target of a milestone.</t>
  </si>
  <si>
    <t>mandate cancellation option is not available</t>
  </si>
  <si>
    <t>Progress shows 100% and the reward becomes Achieved.</t>
  </si>
  <si>
    <t>D. SEATS, INVOICES &amp; LAPSE</t>
  </si>
  <si>
    <t>E. PARTICIPANTS &amp; ENROLMENT</t>
  </si>
  <si>
    <t>Add a user on a paid plan.</t>
  </si>
  <si>
    <t>The seat count reflects the new user for the next cycle.</t>
  </si>
  <si>
    <t>Assign a milestone to a TEAM.</t>
  </si>
  <si>
    <t>Every member of the team becomes an individual participant.</t>
  </si>
  <si>
    <t>no team selection</t>
  </si>
  <si>
    <t>Remove a user mid-cycle.</t>
  </si>
  <si>
    <t>The change is recorded; confirm the rule (no mid-cycle credit for removals) matches expectations.</t>
  </si>
  <si>
    <t>Add a participant, then do qualifying work that happened BEFORE they were enrolled.</t>
  </si>
  <si>
    <t>Open invoices and download an invoice PDF.</t>
  </si>
  <si>
    <t>Only work from AFTER they were enrolled counts toward their progress.</t>
  </si>
  <si>
    <t>The invoice opens with correct totals (subtotal + tax - discount = total).</t>
  </si>
  <si>
    <t>A. EMAIL</t>
  </si>
  <si>
    <t>the paid amount doesnt calculate the tax but the invoice do</t>
  </si>
  <si>
    <t>F. REWARD STATES &amp; APPROVAL FLOW</t>
  </si>
  <si>
    <t>Connect a Gmail mailbox (sign in with Google) in email settings.</t>
  </si>
  <si>
    <t>The mailbox connects and shows active.</t>
  </si>
  <si>
    <t>View payment history.</t>
  </si>
  <si>
    <t>Past payments are listed with amount, method and status.</t>
  </si>
  <si>
    <t>method is not displayed/stored</t>
  </si>
  <si>
    <t>For a milestone WITHOUT approval required, reach the target.</t>
  </si>
  <si>
    <t>The reward goes straight to Approved automatically (no manual approval needed).</t>
  </si>
  <si>
    <t>Look at the provider choices (Gmail / Outlook / Custom).</t>
  </si>
  <si>
    <t>Only options that actually work should be selectable; a non-working option should not be offered, or should say 'coming soon'.</t>
  </si>
  <si>
    <t>Move a company to Suspended / Cancelled / Past-due (with admin help).</t>
  </si>
  <si>
    <t>Paid features stop working, but the company's data is NOT deleted.</t>
  </si>
  <si>
    <t>Open the inbox after connecting.</t>
  </si>
  <si>
    <t>Messages load into the inbox.</t>
  </si>
  <si>
    <t>error in backend - rls</t>
  </si>
  <si>
    <t>For a milestone WITH approval required, reach the target.</t>
  </si>
  <si>
    <t>The reward waits at Achieved until an approver approves it.</t>
  </si>
  <si>
    <t>Bring the subscription back to Active.</t>
  </si>
  <si>
    <t>Open a message and its thread; download an attachment.</t>
  </si>
  <si>
    <t>Message, thread and attachment open correctly.</t>
  </si>
  <si>
    <t>Paid features work again and the data is intact.</t>
  </si>
  <si>
    <t>messages are being sent but the mails are not visible in clozr</t>
  </si>
  <si>
    <t>issue 16 must be fixed</t>
  </si>
  <si>
    <t>Reply to a message and send a new e-mail from inside the app.</t>
  </si>
  <si>
    <t>Approve an achieved reward, then fulfil it.</t>
  </si>
  <si>
    <t>The reply and new e-mail are sent.</t>
  </si>
  <si>
    <t>The reward moves Achieved -&gt; Approved -&gt; Fulfilled.</t>
  </si>
  <si>
    <t>incominng mails are not poosible</t>
  </si>
  <si>
    <t>As a normal user (not admin), check which mailboxes you can see.</t>
  </si>
  <si>
    <t>You see your own mailbox plus the company default mailbox — not every other person's mailbox.</t>
  </si>
  <si>
    <t>Disconnect the mailbox.</t>
  </si>
  <si>
    <t>The mailbox is removed and its inbox no longer loads.</t>
  </si>
  <si>
    <t>no disconnect option in mail</t>
  </si>
  <si>
    <t>B. WHATSAPP</t>
  </si>
  <si>
    <t>Reject an achieved reward.</t>
  </si>
  <si>
    <t>The reward becomes Void.</t>
  </si>
  <si>
    <t>Set up the WhatsApp business account.</t>
  </si>
  <si>
    <t>The account connects.</t>
  </si>
  <si>
    <t>After a reward is Void, let the same person reach the same target again.</t>
  </si>
  <si>
    <t>Open the WhatsApp conversations inbox.</t>
  </si>
  <si>
    <t>A fresh reward can be granted for that period (the voided one freed the slot).</t>
  </si>
  <si>
    <t>Conversations load with unread counts.</t>
  </si>
  <si>
    <t>Open a conversation; assign to an agent, unassign, then star it.</t>
  </si>
  <si>
    <t>Assign, unassign and star all work.</t>
  </si>
  <si>
    <t>Try to approve a reward that is NOT in the Achieved state (e.g. already Approved).</t>
  </si>
  <si>
    <t>Send a text, a template, an image and a document.</t>
  </si>
  <si>
    <t>Blocked; only an Achieved reward can be approved or rejected.</t>
  </si>
  <si>
    <t>Each message type sends and appears in the conversation.</t>
  </si>
  <si>
    <t>Try to send a plain text message outside an active conversation window.</t>
  </si>
  <si>
    <t>G. GRANDFATHER — EARNED REWARDS DON'T CHANGE</t>
  </si>
  <si>
    <t>The app requires a template message as WhatsApp rules demand, or explains why.</t>
  </si>
  <si>
    <t>Sync WhatsApp templates from the provider.</t>
  </si>
  <si>
    <t>The templates list updates.</t>
  </si>
  <si>
    <t>Reach a target so a reward is Achieved, then REVERSE/cancel the qualifying deal (e.g. un-win or refund).</t>
  </si>
  <si>
    <t>The reward STAYS earned — once achieved it is not taken back by a later reversal (progress may drop, but the reward is not revoked).</t>
  </si>
  <si>
    <t>On a plan WITHOUT WhatsApp, open the WhatsApp inbox.</t>
  </si>
  <si>
    <t>Blocked with an upgrade message.</t>
  </si>
  <si>
    <t>C. TELEPHONY (covered in CRM - Records too)</t>
  </si>
  <si>
    <t>Reach a target, then EDIT the milestone's reward text or target.</t>
  </si>
  <si>
    <t>The already-earned reward keeps its ORIGINAL reward and target; the edit only affects future achievements.</t>
  </si>
  <si>
    <t>Confirm click-to-call, call logs and recording appear where a call is made from a lead or customer.</t>
  </si>
  <si>
    <t>Calls are logged against the right record.</t>
  </si>
  <si>
    <t>H. LEVELS / TRACKS (test hard)</t>
  </si>
  <si>
    <t>D. EMAIL — DEEPER</t>
  </si>
  <si>
    <t>Create a level track and add milestones as Level 1, Level 2, Level 3.</t>
  </si>
  <si>
    <t>Search the inbox, mark a message read/unread, and star/flag a message.</t>
  </si>
  <si>
    <t>Search, read state and star all work and persist.</t>
  </si>
  <si>
    <t>They save in order with their level numbers.</t>
  </si>
  <si>
    <t>Forward a message and reply-all on a thread.</t>
  </si>
  <si>
    <t>Forward and reply-all send correctly and stay on the right thread.</t>
  </si>
  <si>
    <t>As a participant, look at Level 2 before completing Level 1.</t>
  </si>
  <si>
    <t>Level 2 is locked until Level 1 is completed — you climb the ladder in order.</t>
  </si>
  <si>
    <t>Open a message with a large attachment and download it.</t>
  </si>
  <si>
    <t>The attachment downloads; very large attachments are handled without breaking the page.</t>
  </si>
  <si>
    <t>Set the org Unlock Gate to 'Achievement', complete Level 1's target, then check Level 2.</t>
  </si>
  <si>
    <t>As an admin, connect a SECOND company mailbox; as a normal user, check which mailboxes are visible.</t>
  </si>
  <si>
    <t>Admins see all company mailboxes; a normal user sees only their own plus the company default.</t>
  </si>
  <si>
    <t>With gate = Achievement, simply REACHING Level 1's target unlocks Level 2.</t>
  </si>
  <si>
    <t>Set the org Unlock Gate to 'Approval'. Reach a level's target but do NOT get the reward approved yet.</t>
  </si>
  <si>
    <t>Send an e-mail to an address that will bounce / with the mailbox disconnected.</t>
  </si>
  <si>
    <t>With gate = Approval, the next level stays locked until the reward is APPROVED, not just achieved. (Changing the gate applies immediately.)</t>
  </si>
  <si>
    <t>A clear failure/status is shown; the app does not silently swallow the error.</t>
  </si>
  <si>
    <t>E. WHATSAPP — DEEPER</t>
  </si>
  <si>
    <t>Create a standalone milestone that is NOT in any track.</t>
  </si>
  <si>
    <t>It is never level-locked and works on its own.</t>
  </si>
  <si>
    <t>Try to send a free-text message to a contact whose last message was more than 24 hours ago.</t>
  </si>
  <si>
    <t>The app requires an approved TEMPLATE message (WhatsApp's 24-hour window rule), or clearly explains why.</t>
  </si>
  <si>
    <t>I. ENGINE SETTINGS — LIVE vs FIXED-AT-CREATION</t>
  </si>
  <si>
    <t>Send a template message and watch its delivery/read status.</t>
  </si>
  <si>
    <t>The status updates (sent/delivered/read) as the message progresses.</t>
  </si>
  <si>
    <t>Change the Approver Mode (Reporting manager / Executive leadership / Either).</t>
  </si>
  <si>
    <t>Receive an inbound WhatsApp with an image/document and open it.</t>
  </si>
  <si>
    <t>The media loads through the app safely.</t>
  </si>
  <si>
    <t>The change applies immediately to all campaigns (it is a live setting).</t>
  </si>
  <si>
    <t>Use a canned response, assign the conversation to an agent, star it, and mark it read.</t>
  </si>
  <si>
    <t>Canned response, assignment, star and read state all work; the unread badge updates.</t>
  </si>
  <si>
    <t>A. DASHBOARDS</t>
  </si>
  <si>
    <t>Change the Unlock Gate.</t>
  </si>
  <si>
    <t>The change applies immediately at the next unlock check (live).</t>
  </si>
  <si>
    <t>Try to WhatsApp a lead marked 'unsubscribed'.</t>
  </si>
  <si>
    <t>The send is blocked with an 'unsubscribed' message (confirmed rule).</t>
  </si>
  <si>
    <t>Open the main Dashboard after login.</t>
  </si>
  <si>
    <t>It loads with cards, numbers and charts — not blank or broken.</t>
  </si>
  <si>
    <t>F. TELEPHONY (EXOTEL) — DEEPER</t>
  </si>
  <si>
    <t>Change the default refresh cadence or the default 'approval required' AFTER milestones exist.</t>
  </si>
  <si>
    <t>Existing milestones keep the value they were created with (not retroactive); only new milestones use the new default.</t>
  </si>
  <si>
    <t>Make a call from a lead, then check the call log, recording and any transcription/summary.</t>
  </si>
  <si>
    <t>Change the date range / filters on a dashboard.</t>
  </si>
  <si>
    <t>The call is logged against the lead with duration; recording/transcription appear per the settings.</t>
  </si>
  <si>
    <t>Numbers and charts update for the chosen range.</t>
  </si>
  <si>
    <t>J. APPROVER AUTHORITY (who may approve)</t>
  </si>
  <si>
    <t>Add a note or task straight from the call log entry.</t>
  </si>
  <si>
    <t>Change a record (e.g. mark a lead won) and refresh the dashboard right away.</t>
  </si>
  <si>
    <t>The number may take a few seconds to update (figures refresh on a short delay), then corrects itself.</t>
  </si>
  <si>
    <t>Set Approver Mode = 'Reporting manager'. As a subordinate's MANAGER, approve their reward.</t>
  </si>
  <si>
    <t>The manager (anywhere up the chain) can approve.</t>
  </si>
  <si>
    <t>Open the sales, delivery (PMO) and support dashboards.</t>
  </si>
  <si>
    <t>Each shows its own numbers and charts.</t>
  </si>
  <si>
    <t>As the SAME person who earned the reward, try to approve your own.</t>
  </si>
  <si>
    <t>Log in as users with different roles and open the dashboard.</t>
  </si>
  <si>
    <t>Blocked; you are not above yourself in the chain.</t>
  </si>
  <si>
    <t>Each role sees only the data their permissions allow.</t>
  </si>
  <si>
    <t>Check 'overdue' items on a dashboard against the actual records.</t>
  </si>
  <si>
    <t>As a PEER (not a manager, not admin/exec), try to approve someone's reward.</t>
  </si>
  <si>
    <t>Overdue = past the end date and not closed; the count matches the records.</t>
  </si>
  <si>
    <t>Blocked under 'Reporting manager' and 'Executive leadership' modes.</t>
  </si>
  <si>
    <t>B. REPORTS — EXPORT</t>
  </si>
  <si>
    <t>Open the Reports screen.</t>
  </si>
  <si>
    <t>It shows only the exports your role and plan allow (may be empty for a limited user).</t>
  </si>
  <si>
    <t>Set Approver Mode = 'Executive leadership'. As an ordinary manager (not exec/admin), try to approve.</t>
  </si>
  <si>
    <t>Blocked; only Executive Leadership or a System Admin may approve in this mode.</t>
  </si>
  <si>
    <t>Export a data set (e.g. Leads).</t>
  </si>
  <si>
    <t>A file downloads with the correct data.</t>
  </si>
  <si>
    <t>A participant who has NO manager reaches a target needing approval. Check who can clear it.</t>
  </si>
  <si>
    <t>As a user WITHOUT export permission, try to export.</t>
  </si>
  <si>
    <t>It escalates to a System Admin / Executive Leadership; it does not get stuck with no possible approver.</t>
  </si>
  <si>
    <t>Export is blocked or hidden.</t>
  </si>
  <si>
    <t>On a plan without report export, try to export.</t>
  </si>
  <si>
    <t>K. LIFECYCLE</t>
  </si>
  <si>
    <t>C. IMPORT</t>
  </si>
  <si>
    <t>Archive an active milestone.</t>
  </si>
  <si>
    <t>Import a data set from a correctly formatted file.</t>
  </si>
  <si>
    <t>Valid rows import.</t>
  </si>
  <si>
    <t>It stops all future progress but keeps its history; it cannot be hard-deleted.</t>
  </si>
  <si>
    <t>Import a file with some bad rows (missing required fields, wrong format).</t>
  </si>
  <si>
    <t>Bad rows are reported clearly; good rows still import; nothing is silently corrupted.</t>
  </si>
  <si>
    <t>Open a past (closed) period of a repeatable milestone.</t>
  </si>
  <si>
    <t>The closed period is kept with its final value, target and reward outcome.</t>
  </si>
  <si>
    <t>Import a file that is empty or wholly wrong format.</t>
  </si>
  <si>
    <t>Rejected with a clear message; no crash.</t>
  </si>
  <si>
    <t>Create a milestone with a broken/invalid condition.</t>
  </si>
  <si>
    <t>Export leads that include custom fields, then re-import the same file.</t>
  </si>
  <si>
    <t>A warning is shown but the screen does not crash (it fails safely).</t>
  </si>
  <si>
    <t>The round-trip keeps the custom field values intact.</t>
  </si>
  <si>
    <t>L. MORE CORNER CASES</t>
  </si>
  <si>
    <t>Assign a milestone to a team of several people, then open participants.</t>
  </si>
  <si>
    <t>One participant row is created per team member.</t>
  </si>
  <si>
    <t>Set Approver Mode = 'Either', then approve a reward as a manager, and separately as an Exec/Admin.</t>
  </si>
  <si>
    <t>Both a manager and an Exec/Admin can approve in 'Either' mode.</t>
  </si>
  <si>
    <t>Reverse a deal that had pushed a participant PAST target (reward already Achieved).</t>
  </si>
  <si>
    <t>The progress value may drop, but the already-Achieved reward is NOT revoked (achievement latches).</t>
  </si>
  <si>
    <t>On a level track, complete Level 1 for a user, then view their level cache/position.</t>
  </si>
  <si>
    <t>Their unlocked level advances to Level 2; the position matches what they have actually completed.</t>
  </si>
  <si>
    <t>Two people on the same milestone: one reaches target, the other does not.</t>
  </si>
  <si>
    <t>Only the achiever gets a reward grant; the other stays in progress.</t>
  </si>
  <si>
    <t>A. MENU &amp; MODULE ACCESS (VERY IMPORTANT)</t>
  </si>
  <si>
    <t>Log in and look at the left-hand menu.</t>
  </si>
  <si>
    <t>It shows all the sections your role allows. It is NOT blank or nearly empty.</t>
  </si>
  <si>
    <t>Compare the menu for an admin vs a limited user.</t>
  </si>
  <si>
    <t>The admin sees more; the limited user sees fewer; each only what their role allows.</t>
  </si>
  <si>
    <t>As a limited user, type the address of a section you do NOT have (e.g. Billing).</t>
  </si>
  <si>
    <t>A clear 'no access' panel is shown, not the real screen and not a broken page.</t>
  </si>
  <si>
    <t>Confirm each of the seven modules that your plan/role should show actually appears: CRM, Project, Helpdesk, LMS, Admin/Settings, plus Reports and Dashboard.</t>
  </si>
  <si>
    <t>Each expected module is reachable from the menu.</t>
  </si>
  <si>
    <t>B. END-TO-END MULTI-MODULE JOURNEY (the money chain)</t>
  </si>
  <si>
    <t>Capture a lead from the website form -&gt; it is auto-routed to an agent -&gt; the agent adds a quotation -&gt; accepts it.</t>
  </si>
  <si>
    <t>Each step flows into the next: the lead becomes a customer and a payment plan appears automatically.</t>
  </si>
  <si>
    <t>Open the new customer and create a PROJECT for them, then a support TICKET for them.</t>
  </si>
  <si>
    <t>The project and ticket link back to the same customer; the customer 360 view shows all three.</t>
  </si>
  <si>
    <t>Raise a support ticket for that customer and confirm its SLA deadline.</t>
  </si>
  <si>
    <t>The ticket deadline uses that customer's SLA — set earlier in the CRM.</t>
  </si>
  <si>
    <t>Run a report/dashboard and confirm this journey's lead, deal value and customer all appear.</t>
  </si>
  <si>
    <t>The numbers reflect the end-to-end journey consistently.</t>
  </si>
  <si>
    <t>C. DATA SEPARATION BETWEEN COMPANIES (SECURITY)</t>
  </si>
  <si>
    <t>Note the address/id of a record (e.g. a lead) in Company A; open it while in Company A.</t>
  </si>
  <si>
    <t>It opens for Company A.</t>
  </si>
  <si>
    <t>Log in as a user of a DIFFERENT company (Company B) and paste that same record address/id.</t>
  </si>
  <si>
    <t>Company B is blocked from seeing Company A's record. No data leaks across companies.</t>
  </si>
  <si>
    <t>Repeat the cross-company check for a customer, a project and a ticket.</t>
  </si>
  <si>
    <t>None of Company A's records are reachable from Company B.</t>
  </si>
  <si>
    <t>D. SCOPE ENFORCEMENT ACROSS MODULES (not just leads)</t>
  </si>
  <si>
    <t>Give a user 'owned records only' and confirm it holds for Leads, Customers, Tasks and Tickets alike.</t>
  </si>
  <si>
    <t>The same visibility rule applies across every module, consistently.</t>
  </si>
  <si>
    <t>As a view-only user on a module, find a hidden action's address (delete/edit) and trigger it directly.</t>
  </si>
  <si>
    <t>Refused on the server, not just hidden in the screen — for every module tested.</t>
  </si>
  <si>
    <t>E. CUSTOM FIELD FLOWING THROUGH FEATURES</t>
  </si>
  <si>
    <t>Create a lead custom field -&gt; use it in a routing rule -&gt; use it in an automation condition -&gt; show it as a list column -&gt; export it.</t>
  </si>
  <si>
    <t>The same custom field works consistently in capture, routing, automation, lists and export.</t>
  </si>
  <si>
    <t>Delete that custom field and check the routing rule and automation that used it.</t>
  </si>
  <si>
    <t>The rules that referenced it are flagged/invalidated, not silently broken. (Mark N/A for automations if that area is unavailable.)</t>
  </si>
  <si>
    <t>F. NOTIFICATIONS ACROSS MODULES</t>
  </si>
  <si>
    <t>Do actions that notify people (assign a lead, comment on a project task, resolve a ticket) and check each recipient's bell.</t>
  </si>
  <si>
    <t>Each person receives the right in-app notification for their module event.</t>
  </si>
  <si>
    <t>Turn OFF a channel (e.g. e-mail) at company level in notification settings.</t>
  </si>
  <si>
    <t>No one in the company gets that type of notification by that channel any more.</t>
  </si>
  <si>
    <t>As a single user, change your own notification preference for one event.</t>
  </si>
  <si>
    <t>Your personal choice is respected within the company-level rules.</t>
  </si>
  <si>
    <t>Pin a notification and snooze another.</t>
  </si>
  <si>
    <t>The pinned one stays on top; the snoozed one hides until its time.</t>
  </si>
  <si>
    <t>G. ENTITLEMENT (PLAN) GATING ACROSS MODULES</t>
  </si>
  <si>
    <t>On a plan missing a feature, confirm every entry point to it is blocked (menu item, direct URL, and any button elsewhere that opens it).</t>
  </si>
  <si>
    <t>The feature is blocked everywhere consistently, with an upgrade prompt — no partial access.</t>
  </si>
  <si>
    <t>H. FILE UPLOADS EVERYWHERE</t>
  </si>
  <si>
    <t>Upload a file just over 10 MB in several places (lead, task, note, project, ticket, payment record).</t>
  </si>
  <si>
    <t>Oversized files are refused with a clear message, consistently, in every place.</t>
  </si>
  <si>
    <t>Upload a file with a very long name and unusual characters.</t>
  </si>
  <si>
    <t>It uploads and shows the name correctly, or is cleaned sensibly.</t>
  </si>
  <si>
    <t>I. SEARCH, EMPTY &amp; LOADING STATES</t>
  </si>
  <si>
    <t>Search for something that does not exist in several lists.</t>
  </si>
  <si>
    <t>A clear 'no results' message is shown, not a blank or broken screen.</t>
  </si>
  <si>
    <t>Open a brand-new empty section (e.g. no leads yet).</t>
  </si>
  <si>
    <t>A friendly empty-state message is shown.</t>
  </si>
  <si>
    <t>Open a heavy screen on a slow connection.</t>
  </si>
  <si>
    <t>A loading indicator shows; the screen does not appear frozen or broken.</t>
  </si>
  <si>
    <t>J. INPUT LIMITS &amp; ODD INPUT (across forms)</t>
  </si>
  <si>
    <t>Paste extremely long text into single-line boxes in several forms.</t>
  </si>
  <si>
    <t>The app limits or handles it; the layout does not break.</t>
  </si>
  <si>
    <t>Enter special characters, emoji and non-English text in several forms.</t>
  </si>
  <si>
    <t>Saved and shown correctly across the app.</t>
  </si>
  <si>
    <t>Enter letters in number boxes, negatives, and impossible dates (e.g. 31 Feb).</t>
  </si>
  <si>
    <t>Submit a form twice quickly (double-click Save).</t>
  </si>
  <si>
    <t>Only one record is created; no duplicate.</t>
  </si>
  <si>
    <t>K. MONEY &amp; CURRENCY</t>
  </si>
  <si>
    <t>Create records in more than one currency, then open a dashboard total that mixes them.</t>
  </si>
  <si>
    <t>Confirm how mixed currencies behave; note if different currencies appear added together (there is no currency conversion).</t>
  </si>
  <si>
    <t>L. BROWSER, DEVICE, THEME &amp; NAVIGATION</t>
  </si>
  <si>
    <t>Open the app on a phone-sized and a tablet-sized screen.</t>
  </si>
  <si>
    <t>The layout adapts and stays usable; nothing important is cut off.</t>
  </si>
  <si>
    <t>Open the app in two different browsers.</t>
  </si>
  <si>
    <t>It looks and works the same in both.</t>
  </si>
  <si>
    <t>Switch between light and dark appearance (if available).</t>
  </si>
  <si>
    <t>Text stays readable and colours look correct in both.</t>
  </si>
  <si>
    <t>Use browser Back/Forward in the middle of a multi-step flow.</t>
  </si>
  <si>
    <t>The app keeps a sensible state; it does not lose your place or show broken data.</t>
  </si>
  <si>
    <t>Refresh the page (F5) mid-way through a long form.</t>
  </si>
  <si>
    <t>The app warns about unsaved changes or reloads cleanly; no crash.</t>
  </si>
  <si>
    <t>M. CONCURRENT USE &amp; ERROR HANDLING</t>
  </si>
  <si>
    <t>Open the same record in two tabs/users; edit and save in both.</t>
  </si>
  <si>
    <t>The clash is handled sensibly; one person's change is not silently lost without any sign.</t>
  </si>
  <si>
    <t>Throughout testing, watch for raw/technical errors, blank white pages, or endless loaders.</t>
  </si>
  <si>
    <t>Errors always appear as friendly, clear messages; no raw errors or dead pages reach the user.</t>
  </si>
  <si>
    <t>Turn off the internet briefly during an action, then restore it.</t>
  </si>
  <si>
    <t>A clear connection message is shown and the app recovers without losing your login or corrupting data.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</si>
</sst>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yy"/>
    <numFmt numFmtId="165" formatCode="d-mmm-yyyy hh:mm"/>
    <numFmt numFmtId="166" formatCode="0.0%"/>
  </numFmts>
  <fonts count="15">
    <font>
      <sz val="11.0"/>
      <color theme="1"/>
      <name val="Calibri"/>
      <scheme val="minor"/>
    </font>
    <font>
      <b/>
      <sz val="16.0"/>
      <color rgb="FF1F3A5F"/>
      <name val="Arial"/>
    </font>
    <font>
      <b/>
      <sz val="10.0"/>
      <color rgb="FFFFFFFF"/>
      <name val="Arial"/>
    </font>
    <font>
      <sz val="10.0"/>
      <color rgb="FF1A1A1A"/>
      <name val="Arial"/>
    </font>
    <font>
      <b/>
      <sz val="12.0"/>
      <color rgb="FF2F5C99"/>
      <name val="Arial"/>
    </font>
    <font>
      <b/>
      <sz val="20.0"/>
      <color rgb="FFFFFFFF"/>
      <name val="Arial"/>
    </font>
    <font/>
    <font>
      <b/>
      <sz val="10.0"/>
      <color rgb="FF1F3A5F"/>
      <name val="Arial"/>
    </font>
    <font>
      <sz val="11.0"/>
      <color rgb="FFFFFFFF"/>
      <name val="Arial"/>
    </font>
    <font>
      <b/>
      <sz val="11.0"/>
      <color rgb="FFFFFFFF"/>
      <name val="Arial"/>
    </font>
    <font>
      <i/>
      <sz val="9.0"/>
      <color rgb="FF9A9A9A"/>
      <name val="Arial"/>
    </font>
    <font>
      <sz val="11.0"/>
      <color theme="1"/>
      <name val="Calibri"/>
    </font>
    <font>
      <color theme="1"/>
      <name val="Calibri"/>
      <scheme val="minor"/>
    </font>
    <font>
      <b/>
      <sz val="11.0"/>
      <color rgb="FF1F3A5F"/>
      <name val="Arial"/>
    </font>
    <font>
      <i/>
      <sz val="10.0"/>
      <color rgb="FF9A9A9A"/>
      <name val="Arial"/>
    </font>
  </fonts>
  <fills count="10">
    <fill>
      <patternFill patternType="none"/>
    </fill>
    <fill>
      <patternFill patternType="lightGray"/>
    </fill>
    <fill>
      <patternFill patternType="solid">
        <fgColor rgb="FF2F5C99"/>
        <bgColor rgb="FF2F5C99"/>
      </patternFill>
    </fill>
    <fill>
      <patternFill patternType="solid">
        <fgColor rgb="FF1F3A5F"/>
        <bgColor rgb="FF1F3A5F"/>
      </patternFill>
    </fill>
    <fill>
      <patternFill patternType="solid">
        <fgColor rgb="FFDDE3EC"/>
        <bgColor rgb="FFDDE3EC"/>
      </patternFill>
    </fill>
    <fill>
      <patternFill patternType="solid">
        <fgColor rgb="FF3B4A5A"/>
        <bgColor rgb="FF3B4A5A"/>
      </patternFill>
    </fill>
    <fill>
      <patternFill patternType="solid">
        <fgColor rgb="FFFFF3C4"/>
        <bgColor rgb="FFFFF3C4"/>
      </patternFill>
    </fill>
    <fill>
      <patternFill patternType="solid">
        <fgColor rgb="FFF5F7FA"/>
        <bgColor rgb="FFF5F7FA"/>
      </patternFill>
    </fill>
    <fill>
      <patternFill patternType="solid">
        <fgColor rgb="FF00FF00"/>
        <bgColor rgb="FF00FF00"/>
      </patternFill>
    </fill>
    <fill>
      <patternFill patternType="solid">
        <fgColor rgb="FFFFFF00"/>
        <bgColor rgb="FFFFFF00"/>
      </patternFill>
    </fill>
  </fills>
  <borders count="15">
    <border/>
    <border>
      <left style="thin">
        <color rgb="FFC7CED8"/>
      </left>
      <right style="thin">
        <color rgb="FFC7CED8"/>
      </right>
      <top style="thin">
        <color rgb="FFC7CED8"/>
      </top>
      <bottom style="thin">
        <color rgb="FFC7CED8"/>
      </bottom>
    </border>
    <border>
      <left/>
      <top/>
      <bottom/>
    </border>
    <border>
      <top/>
      <bottom/>
    </border>
    <border>
      <left style="thin">
        <color rgb="FFC7CED8"/>
      </left>
      <top style="thin">
        <color rgb="FFC7CED8"/>
      </top>
      <bottom style="thin">
        <color rgb="FFC7CED8"/>
      </bottom>
    </border>
    <border>
      <top style="thin">
        <color rgb="FFC7CED8"/>
      </top>
      <bottom style="thin">
        <color rgb="FFC7CED8"/>
      </bottom>
    </border>
    <border>
      <right style="thin">
        <color rgb="FFC7CED8"/>
      </right>
      <top style="thin">
        <color rgb="FFC7CED8"/>
      </top>
      <bottom style="thin">
        <color rgb="FFC7CED8"/>
      </bottom>
    </border>
    <border>
      <left style="thin">
        <color rgb="FFC7CED8"/>
      </left>
      <top style="thin">
        <color rgb="FFC7CED8"/>
      </top>
    </border>
    <border>
      <top style="thin">
        <color rgb="FFC7CED8"/>
      </top>
    </border>
    <border>
      <right style="thin">
        <color rgb="FFC7CED8"/>
      </right>
      <top style="thin">
        <color rgb="FFC7CED8"/>
      </top>
    </border>
    <border>
      <left style="thin">
        <color rgb="FFC7CED8"/>
      </left>
    </border>
    <border>
      <right style="thin">
        <color rgb="FFC7CED8"/>
      </right>
    </border>
    <border>
      <left style="thin">
        <color rgb="FFC7CED8"/>
      </left>
      <bottom style="thin">
        <color rgb="FFC7CED8"/>
      </bottom>
    </border>
    <border>
      <bottom style="thin">
        <color rgb="FFC7CED8"/>
      </bottom>
    </border>
    <border>
      <right style="thin">
        <color rgb="FFC7CED8"/>
      </right>
      <bottom style="thin">
        <color rgb="FFC7CED8"/>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2" fontId="2" numFmtId="0" xfId="0" applyAlignment="1" applyBorder="1" applyFill="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2" fillId="3" fontId="5" numFmtId="0" xfId="0" applyAlignment="1" applyBorder="1" applyFill="1" applyFont="1">
      <alignment horizontal="left" vertical="center"/>
    </xf>
    <xf borderId="3" fillId="0" fontId="6" numFmtId="0" xfId="0" applyBorder="1" applyFont="1"/>
    <xf borderId="4" fillId="4" fontId="7" numFmtId="0" xfId="0" applyAlignment="1" applyBorder="1" applyFill="1" applyFont="1">
      <alignment horizontal="left" vertical="center"/>
    </xf>
    <xf borderId="5" fillId="0" fontId="6" numFmtId="0" xfId="0" applyBorder="1" applyFont="1"/>
    <xf borderId="2" fillId="2" fontId="8" numFmtId="0" xfId="0" applyAlignment="1" applyBorder="1" applyFill="1" applyFont="1">
      <alignment horizontal="left" vertical="center"/>
    </xf>
    <xf borderId="6" fillId="0" fontId="6" numFmtId="0" xfId="0" applyBorder="1" applyFont="1"/>
    <xf borderId="1" fillId="0" fontId="3" numFmtId="0" xfId="0" applyAlignment="1" applyBorder="1" applyFont="1">
      <alignment horizontal="center" shrinkToFit="0" vertical="center" wrapText="1"/>
    </xf>
    <xf borderId="2" fillId="5" fontId="9" numFmtId="0" xfId="0" applyAlignment="1" applyBorder="1" applyFill="1" applyFont="1">
      <alignment vertical="center"/>
    </xf>
    <xf borderId="1" fillId="0" fontId="3" numFmtId="0" xfId="0" applyAlignment="1" applyBorder="1" applyFont="1">
      <alignment horizontal="left" shrinkToFit="0" vertical="top" wrapText="1"/>
    </xf>
    <xf borderId="0" fillId="0" fontId="7" numFmtId="0" xfId="0" applyFont="1"/>
    <xf borderId="4" fillId="6" fontId="10" numFmtId="0" xfId="0" applyAlignment="1" applyBorder="1" applyFill="1" applyFont="1">
      <alignment readingOrder="0" vertical="center"/>
    </xf>
    <xf borderId="1" fillId="0" fontId="11" numFmtId="0" xfId="0" applyAlignment="1" applyBorder="1" applyFont="1">
      <alignment horizontal="center" shrinkToFit="0" vertical="center" wrapText="1"/>
    </xf>
    <xf borderId="1" fillId="0" fontId="11" numFmtId="0" xfId="0" applyAlignment="1" applyBorder="1" applyFont="1">
      <alignment horizontal="left" shrinkToFit="0" vertical="top" wrapText="1"/>
    </xf>
    <xf borderId="4" fillId="6" fontId="10" numFmtId="0" xfId="0" applyAlignment="1" applyBorder="1" applyFill="1" applyFont="1">
      <alignment vertical="center"/>
    </xf>
    <xf borderId="1" fillId="7" fontId="3" numFmtId="0" xfId="0" applyAlignment="1" applyBorder="1" applyFill="1" applyFont="1">
      <alignment horizontal="center" shrinkToFit="0" vertical="center" wrapText="1"/>
    </xf>
    <xf borderId="1" fillId="7" fontId="3" numFmtId="0" xfId="0" applyAlignment="1" applyBorder="1" applyFill="1" applyFont="1">
      <alignment horizontal="left" shrinkToFit="0" vertical="top" wrapText="1"/>
    </xf>
    <xf borderId="1" fillId="7" fontId="11" numFmtId="0" xfId="0" applyAlignment="1" applyBorder="1" applyFill="1" applyFont="1">
      <alignment horizontal="left" shrinkToFit="0" vertical="top" wrapText="1"/>
    </xf>
    <xf borderId="4" fillId="6" fontId="10" numFmtId="164" xfId="0" applyAlignment="1" applyBorder="1" applyFill="1" applyFont="1" applyNumberFormat="1">
      <alignment readingOrder="0" vertical="center"/>
    </xf>
    <xf borderId="4" fillId="6" fontId="10" numFmtId="165" xfId="0" applyAlignment="1" applyBorder="1" applyFill="1" applyFont="1" applyNumberFormat="1">
      <alignment readingOrder="0" vertical="center"/>
    </xf>
    <xf borderId="1" fillId="0" fontId="3" numFmtId="166" xfId="0" applyAlignment="1" applyBorder="1" applyFont="1" applyNumberFormat="1">
      <alignment horizontal="center" shrinkToFit="0" vertical="center" wrapText="1"/>
    </xf>
    <xf borderId="0" fillId="8" fontId="12" numFmtId="0" xfId="0" applyFill="1" applyFont="1"/>
    <xf borderId="1" fillId="8" fontId="3" numFmtId="0" xfId="0" applyAlignment="1" applyBorder="1" applyFill="1" applyFont="1">
      <alignment horizontal="left" shrinkToFit="0" vertical="top" wrapText="1"/>
    </xf>
    <xf borderId="1" fillId="8" fontId="3" numFmtId="0" xfId="0" applyAlignment="1" applyBorder="1" applyFill="1" applyFont="1">
      <alignment horizontal="center" shrinkToFit="0" vertical="center" wrapText="1"/>
    </xf>
    <xf borderId="1" fillId="8" fontId="3" numFmtId="166" xfId="0" applyAlignment="1" applyBorder="1" applyFill="1" applyFont="1" applyNumberFormat="1">
      <alignment horizontal="center" shrinkToFit="0" vertical="center" wrapText="1"/>
    </xf>
    <xf borderId="1" fillId="3" fontId="2" numFmtId="0" xfId="0" applyAlignment="1" applyBorder="1" applyFill="1" applyFont="1">
      <alignment vertical="center"/>
    </xf>
    <xf borderId="1" fillId="3" fontId="2" numFmtId="0" xfId="0" applyAlignment="1" applyBorder="1" applyFill="1" applyFont="1">
      <alignment horizontal="center" shrinkToFit="0" vertical="center" wrapText="1"/>
    </xf>
    <xf borderId="1" fillId="3" fontId="2" numFmtId="166" xfId="0" applyAlignment="1" applyBorder="1" applyFill="1" applyFont="1" applyNumberFormat="1">
      <alignment horizontal="center" shrinkToFit="0" vertical="center" wrapText="1"/>
    </xf>
    <xf borderId="0" fillId="0" fontId="13" numFmtId="0" xfId="0" applyFont="1"/>
    <xf borderId="4" fillId="6" fontId="14" numFmtId="0" xfId="0" applyAlignment="1" applyBorder="1" applyFill="1" applyFont="1">
      <alignment vertical="center"/>
    </xf>
    <xf borderId="4" fillId="6" fontId="11" numFmtId="0" xfId="0" applyBorder="1" applyFill="1" applyFont="1"/>
    <xf borderId="7" fillId="7" fontId="11" numFmtId="0" xfId="0" applyAlignment="1" applyBorder="1" applyFill="1" applyFont="1">
      <alignment shrinkToFit="0" vertical="top" wrapText="1"/>
    </xf>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1" fillId="0" fontId="11" numFmtId="0" xfId="0" applyAlignment="1" applyBorder="1" applyFont="1">
      <alignment horizontal="center" readingOrder="0" shrinkToFit="0" vertical="center" wrapText="1"/>
    </xf>
    <xf borderId="1" fillId="0" fontId="11" numFmtId="0" xfId="0" applyAlignment="1" applyBorder="1" applyFont="1">
      <alignment horizontal="left" readingOrder="0" shrinkToFit="0" vertical="top" wrapText="1"/>
    </xf>
    <xf borderId="1" fillId="7" fontId="11" numFmtId="0" xfId="0" applyAlignment="1" applyBorder="1" applyFill="1" applyFont="1">
      <alignment horizontal="left" readingOrder="0" shrinkToFit="0" vertical="top" wrapText="1"/>
    </xf>
    <xf borderId="0" fillId="9" fontId="12" numFmtId="0" xfId="0" applyFill="1" applyFont="1"/>
    <xf borderId="1" fillId="9" fontId="11" numFmtId="0" xfId="0" applyAlignment="1" applyBorder="1" applyFill="1" applyFont="1">
      <alignment horizontal="left" readingOrder="0" shrinkToFit="0" vertical="top" wrapText="1"/>
    </xf>
  </cellXfs>
  <cellStyles count="1">
    <cellStyle xfId="0" name="Normal" builtinId="0"/>
  </cellStyles>
  <dxfs count="4">
    <dxf>
      <font>
        <b/>
        <sz val="10.0"/>
        <color rgb="FF006100"/>
        <name val="Arial"/>
      </font>
      <fill>
        <patternFill patternType="solid">
          <fgColor rgb="FFC6EFCE"/>
          <bgColor rgb="FFC6EFCE"/>
        </patternFill>
      </fill>
      <border/>
    </dxf>
    <dxf>
      <font>
        <b/>
        <sz val="10.0"/>
        <color rgb="FF9C0006"/>
        <name val="Arial"/>
      </font>
      <fill>
        <patternFill patternType="solid">
          <fgColor rgb="FFFFC7CE"/>
          <bgColor rgb="FFFFC7CE"/>
        </patternFill>
      </fill>
      <border/>
    </dxf>
    <dxf>
      <font>
        <b/>
        <sz val="10.0"/>
        <color rgb="FF9C6500"/>
        <name val="Arial"/>
      </font>
      <fill>
        <patternFill patternType="solid">
          <fgColor rgb="FFFFEB9C"/>
          <bgColor rgb="FFFFEB9C"/>
        </patternFill>
      </fill>
      <border/>
    </dxf>
    <dxf>
      <font>
        <b/>
        <sz val="10.0"/>
        <color rgb="FF595959"/>
        <name val="Arial"/>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2" width="30.0"/>
    <col customWidth="1" min="3" max="3" width="13.0"/>
    <col customWidth="1" min="4" max="4" width="11.0"/>
    <col customWidth="1" min="5" max="5" width="21.57"/>
    <col customWidth="1" min="6" max="7" width="12.0"/>
    <col customWidth="1" min="8" max="8" width="14.0"/>
    <col customWidth="1" min="9" max="26" width="8.71"/>
  </cols>
  <sheetData>
    <row r="2" ht="33.75" customHeight="1">
      <c r="B2" s="5" t="s">
        <v>1</v>
      </c>
      <c r="C2" s="6"/>
      <c r="D2" s="6"/>
      <c r="E2" s="6"/>
      <c r="F2" s="6"/>
      <c r="G2" s="6"/>
      <c r="H2" s="6"/>
    </row>
    <row r="3" ht="21.75" customHeight="1">
      <c r="B3" s="9" t="s">
        <v>15</v>
      </c>
      <c r="C3" s="6"/>
      <c r="D3" s="6"/>
      <c r="E3" s="6"/>
      <c r="F3" s="6"/>
      <c r="G3" s="6"/>
      <c r="H3" s="6"/>
    </row>
    <row r="5" ht="19.5" customHeight="1">
      <c r="B5" s="12" t="s">
        <v>19</v>
      </c>
      <c r="C5" s="6"/>
      <c r="D5" s="6"/>
      <c r="E5" s="6"/>
      <c r="F5" s="6"/>
      <c r="G5" s="6"/>
      <c r="H5" s="6"/>
    </row>
    <row r="6">
      <c r="B6" s="14" t="s">
        <v>27</v>
      </c>
      <c r="C6" s="15" t="s">
        <v>30</v>
      </c>
      <c r="D6" s="10"/>
      <c r="E6" s="14" t="s">
        <v>35</v>
      </c>
      <c r="F6" s="18" t="s">
        <v>37</v>
      </c>
      <c r="G6" s="8"/>
      <c r="H6" s="10"/>
    </row>
    <row r="7">
      <c r="B7" s="14" t="s">
        <v>40</v>
      </c>
      <c r="C7" s="15" t="s">
        <v>42</v>
      </c>
      <c r="D7" s="10"/>
      <c r="E7" s="14" t="s">
        <v>46</v>
      </c>
      <c r="F7" s="15" t="s">
        <v>48</v>
      </c>
      <c r="G7" s="8"/>
      <c r="H7" s="10"/>
    </row>
    <row r="8">
      <c r="B8" s="14" t="s">
        <v>53</v>
      </c>
      <c r="C8" s="15" t="s">
        <v>54</v>
      </c>
      <c r="D8" s="10"/>
      <c r="E8" s="14" t="s">
        <v>57</v>
      </c>
      <c r="F8" s="22">
        <v>46258.0</v>
      </c>
      <c r="G8" s="8"/>
      <c r="H8" s="10"/>
    </row>
    <row r="9">
      <c r="B9" s="14" t="s">
        <v>64</v>
      </c>
      <c r="C9" s="15" t="s">
        <v>66</v>
      </c>
      <c r="D9" s="10"/>
      <c r="E9" s="14" t="s">
        <v>68</v>
      </c>
      <c r="F9" s="23">
        <v>46258.75</v>
      </c>
      <c r="G9" s="8"/>
      <c r="H9" s="10"/>
    </row>
    <row r="11" ht="19.5" customHeight="1">
      <c r="B11" s="12" t="s">
        <v>76</v>
      </c>
      <c r="C11" s="6"/>
      <c r="D11" s="6"/>
      <c r="E11" s="6"/>
      <c r="F11" s="6"/>
      <c r="G11" s="6"/>
      <c r="H11" s="6"/>
    </row>
    <row r="12">
      <c r="B12" s="2" t="s">
        <v>80</v>
      </c>
      <c r="C12" s="2" t="s">
        <v>82</v>
      </c>
      <c r="D12" s="2" t="s">
        <v>84</v>
      </c>
      <c r="E12" s="2" t="s">
        <v>85</v>
      </c>
      <c r="F12" s="2" t="s">
        <v>86</v>
      </c>
      <c r="G12" s="2" t="s">
        <v>89</v>
      </c>
      <c r="H12" s="2" t="s">
        <v>92</v>
      </c>
    </row>
    <row r="13">
      <c r="B13" s="13" t="s">
        <v>93</v>
      </c>
      <c r="C13" s="11">
        <f>COUNT('1. Onboarding &amp; Login'!A2:A38)</f>
        <v>31</v>
      </c>
      <c r="D13" s="11">
        <f>COUNTIF('1. Onboarding &amp; Login'!D2:D38,"Pass")</f>
        <v>0</v>
      </c>
      <c r="E13" s="11">
        <f>COUNTIF('1. Onboarding &amp; Login'!D2:D38,"Fail")</f>
        <v>0</v>
      </c>
      <c r="F13" s="11">
        <f>COUNTIF('1. Onboarding &amp; Login'!D2:D38,"Blocked")</f>
        <v>0</v>
      </c>
      <c r="G13" s="11">
        <f>C13-D13-E13-F13-COUNTIF('1. Onboarding &amp; Login'!D2:D38,"N/A")</f>
        <v>31</v>
      </c>
      <c r="H13" s="24">
        <f t="shared" ref="H13:H31" si="1">IFERROR(D13/C13,0)</f>
        <v>0</v>
      </c>
    </row>
    <row r="14">
      <c r="B14" s="13" t="s">
        <v>121</v>
      </c>
      <c r="C14" s="11">
        <f>COUNT('2. Admin - Users &amp; Teams'!A2:A29)</f>
        <v>23</v>
      </c>
      <c r="D14" s="11">
        <f>COUNTIF('2. Admin - Users &amp; Teams'!D2:D29,"Pass")</f>
        <v>0</v>
      </c>
      <c r="E14" s="11">
        <f>COUNTIF('2. Admin - Users &amp; Teams'!D2:D29,"Fail")</f>
        <v>0</v>
      </c>
      <c r="F14" s="11">
        <f>COUNTIF('2. Admin - Users &amp; Teams'!D2:D29,"Blocked")</f>
        <v>0</v>
      </c>
      <c r="G14" s="11">
        <f>C14-D14-E14-F14-COUNTIF('2. Admin - Users &amp; Teams'!D2:D29,"N/A")</f>
        <v>23</v>
      </c>
      <c r="H14" s="24">
        <f t="shared" si="1"/>
        <v>0</v>
      </c>
    </row>
    <row r="15">
      <c r="B15" s="13" t="s">
        <v>137</v>
      </c>
      <c r="C15" s="11">
        <f>COUNT('3. Roles &amp; Scoping'!A2:A48)</f>
        <v>37</v>
      </c>
      <c r="D15" s="11">
        <f>COUNTIF('3. Roles &amp; Scoping'!D2:D48,"Pass")</f>
        <v>0</v>
      </c>
      <c r="E15" s="11">
        <f>COUNTIF('3. Roles &amp; Scoping'!D2:D48,"Fail")</f>
        <v>0</v>
      </c>
      <c r="F15" s="11">
        <f>COUNTIF('3. Roles &amp; Scoping'!D2:D48,"Blocked")</f>
        <v>0</v>
      </c>
      <c r="G15" s="11">
        <f>C15-D15-E15-F15-COUNTIF('3. Roles &amp; Scoping'!D2:D48,"N/A")</f>
        <v>37</v>
      </c>
      <c r="H15" s="24">
        <f t="shared" si="1"/>
        <v>0</v>
      </c>
    </row>
    <row r="16">
      <c r="B16" s="13" t="s">
        <v>151</v>
      </c>
      <c r="C16" s="11">
        <f>COUNT('4. Editing &amp; Audit Log'!A2:A21)</f>
        <v>16</v>
      </c>
      <c r="D16" s="11">
        <f>COUNTIF('4. Editing &amp; Audit Log'!D2:D21,"Pass")</f>
        <v>0</v>
      </c>
      <c r="E16" s="11">
        <f>COUNTIF('4. Editing &amp; Audit Log'!D2:D21,"Fail")</f>
        <v>0</v>
      </c>
      <c r="F16" s="11">
        <f>COUNTIF('4. Editing &amp; Audit Log'!D2:D21,"Blocked")</f>
        <v>0</v>
      </c>
      <c r="G16" s="11">
        <f>C16-D16-E16-F16-COUNTIF('4. Editing &amp; Audit Log'!D2:D21,"N/A")</f>
        <v>16</v>
      </c>
      <c r="H16" s="24">
        <f t="shared" si="1"/>
        <v>0</v>
      </c>
    </row>
    <row r="17">
      <c r="B17" s="13" t="s">
        <v>165</v>
      </c>
      <c r="C17" s="11">
        <f>COUNT('5. Filters, Columns &amp; Views'!A2:A46)</f>
        <v>37</v>
      </c>
      <c r="D17" s="11">
        <f>COUNTIF('5. Filters, Columns &amp; Views'!D2:D46,"Pass")</f>
        <v>0</v>
      </c>
      <c r="E17" s="11">
        <f>COUNTIF('5. Filters, Columns &amp; Views'!D2:D46,"Fail")</f>
        <v>0</v>
      </c>
      <c r="F17" s="11">
        <f>COUNTIF('5. Filters, Columns &amp; Views'!D2:D46,"Blocked")</f>
        <v>0</v>
      </c>
      <c r="G17" s="11">
        <f>C17-D17-E17-F17-COUNTIF('5. Filters, Columns &amp; Views'!D2:D46,"N/A")</f>
        <v>37</v>
      </c>
      <c r="H17" s="24">
        <f t="shared" si="1"/>
        <v>0</v>
      </c>
    </row>
    <row r="18">
      <c r="B18" s="13" t="s">
        <v>175</v>
      </c>
      <c r="C18" s="11">
        <f>COUNT('6. CRM - Leads'!A2:A63)</f>
        <v>52</v>
      </c>
      <c r="D18" s="11">
        <f>COUNTIF('6. CRM - Leads'!D2:D63,"Pass")</f>
        <v>0</v>
      </c>
      <c r="E18" s="11">
        <f>COUNTIF('6. CRM - Leads'!D2:D63,"Fail")</f>
        <v>0</v>
      </c>
      <c r="F18" s="11">
        <f>COUNTIF('6. CRM - Leads'!D2:D63,"Blocked")</f>
        <v>0</v>
      </c>
      <c r="G18" s="11">
        <f>C18-D18-E18-F18-COUNTIF('6. CRM - Leads'!D2:D63,"N/A")</f>
        <v>52</v>
      </c>
      <c r="H18" s="24">
        <f t="shared" si="1"/>
        <v>0</v>
      </c>
    </row>
    <row r="19">
      <c r="B19" s="13" t="s">
        <v>185</v>
      </c>
      <c r="C19" s="11">
        <f>COUNT('7. Capture &amp; Routing'!A2:A39)</f>
        <v>33</v>
      </c>
      <c r="D19" s="11">
        <f>COUNTIF('7. Capture &amp; Routing'!D2:D39,"Pass")</f>
        <v>0</v>
      </c>
      <c r="E19" s="11">
        <f>COUNTIF('7. Capture &amp; Routing'!D2:D39,"Fail")</f>
        <v>0</v>
      </c>
      <c r="F19" s="11">
        <f>COUNTIF('7. Capture &amp; Routing'!D2:D39,"Blocked")</f>
        <v>0</v>
      </c>
      <c r="G19" s="11">
        <f>C19-D19-E19-F19-COUNTIF('7. Capture &amp; Routing'!D2:D39,"N/A")</f>
        <v>33</v>
      </c>
      <c r="H19" s="24">
        <f t="shared" si="1"/>
        <v>0</v>
      </c>
    </row>
    <row r="20">
      <c r="B20" s="13" t="s">
        <v>196</v>
      </c>
      <c r="C20" s="11">
        <f>COUNT('8. Money Path (Quote-Pay)'!A2:A56)</f>
        <v>42</v>
      </c>
      <c r="D20" s="11">
        <f>COUNTIF('8. Money Path (Quote-Pay)'!D2:D56,"Pass")</f>
        <v>0</v>
      </c>
      <c r="E20" s="11">
        <f>COUNTIF('8. Money Path (Quote-Pay)'!D2:D56,"Fail")</f>
        <v>0</v>
      </c>
      <c r="F20" s="11">
        <f>COUNTIF('8. Money Path (Quote-Pay)'!D2:D56,"Blocked")</f>
        <v>0</v>
      </c>
      <c r="G20" s="11">
        <f>C20-D20-E20-F20-COUNTIF('8. Money Path (Quote-Pay)'!D2:D56,"N/A")</f>
        <v>42</v>
      </c>
      <c r="H20" s="24">
        <f t="shared" si="1"/>
        <v>0</v>
      </c>
    </row>
    <row r="21" ht="15.75" customHeight="1">
      <c r="B21" s="13" t="s">
        <v>205</v>
      </c>
      <c r="C21" s="11">
        <f>COUNT('9. CRM - Records'!A2:A46)</f>
        <v>37</v>
      </c>
      <c r="D21" s="11">
        <f>COUNTIF('9. CRM - Records'!D2:D46,"Pass")</f>
        <v>0</v>
      </c>
      <c r="E21" s="11">
        <f>COUNTIF('9. CRM - Records'!D2:D46,"Fail")</f>
        <v>0</v>
      </c>
      <c r="F21" s="11">
        <f>COUNTIF('9. CRM - Records'!D2:D46,"Blocked")</f>
        <v>0</v>
      </c>
      <c r="G21" s="11">
        <f>C21-D21-E21-F21-COUNTIF('9. CRM - Records'!D2:D46,"N/A")</f>
        <v>37</v>
      </c>
      <c r="H21" s="24">
        <f t="shared" si="1"/>
        <v>0</v>
      </c>
    </row>
    <row r="22" ht="15.75" customHeight="1">
      <c r="A22" s="25"/>
      <c r="B22" s="26" t="s">
        <v>213</v>
      </c>
      <c r="C22" s="27">
        <f>COUNT('10. Project'!A2:A40)</f>
        <v>31</v>
      </c>
      <c r="D22" s="27">
        <f>COUNTIF('10. Project'!D2:D40,"Pass")</f>
        <v>17</v>
      </c>
      <c r="E22" s="27">
        <f>COUNTIF('10. Project'!D2:D40,"Fail")</f>
        <v>5</v>
      </c>
      <c r="F22" s="27">
        <f>COUNTIF('10. Project'!D2:D40,"Blocked")</f>
        <v>7</v>
      </c>
      <c r="G22" s="27">
        <f>C22-D22-E22-F22-COUNTIF('10. Project'!D2:D40,"N/A")</f>
        <v>1</v>
      </c>
      <c r="H22" s="28">
        <f t="shared" si="1"/>
        <v>0.5483870968</v>
      </c>
      <c r="I22" s="25"/>
      <c r="J22" s="25"/>
      <c r="K22" s="25"/>
      <c r="L22" s="25"/>
      <c r="M22" s="25"/>
      <c r="N22" s="25"/>
      <c r="O22" s="25"/>
      <c r="P22" s="25"/>
      <c r="Q22" s="25"/>
      <c r="R22" s="25"/>
      <c r="S22" s="25"/>
      <c r="T22" s="25"/>
      <c r="U22" s="25"/>
      <c r="V22" s="25"/>
      <c r="W22" s="25"/>
      <c r="X22" s="25"/>
      <c r="Y22" s="25"/>
      <c r="Z22" s="25"/>
    </row>
    <row r="23" ht="15.75" customHeight="1">
      <c r="A23" s="25"/>
      <c r="B23" s="26" t="s">
        <v>222</v>
      </c>
      <c r="C23" s="27">
        <f>COUNT('11. Helpdesk'!A2:A28)</f>
        <v>22</v>
      </c>
      <c r="D23" s="27">
        <f>COUNTIF('11. Helpdesk'!D2:D28,"Pass")</f>
        <v>10</v>
      </c>
      <c r="E23" s="27">
        <f>COUNTIF('11. Helpdesk'!D2:D28,"Fail")</f>
        <v>2</v>
      </c>
      <c r="F23" s="27">
        <f>COUNTIF('11. Helpdesk'!D2:D28,"Blocked")</f>
        <v>7</v>
      </c>
      <c r="G23" s="27">
        <f>C23-D23-E23-F23-COUNTIF('11. Helpdesk'!D2:D28,"N/A")</f>
        <v>2</v>
      </c>
      <c r="H23" s="28">
        <f t="shared" si="1"/>
        <v>0.4545454545</v>
      </c>
      <c r="I23" s="25"/>
      <c r="J23" s="25"/>
      <c r="K23" s="25"/>
      <c r="L23" s="25"/>
      <c r="M23" s="25"/>
      <c r="N23" s="25"/>
      <c r="O23" s="25"/>
      <c r="P23" s="25"/>
      <c r="Q23" s="25"/>
      <c r="R23" s="25"/>
      <c r="S23" s="25"/>
      <c r="T23" s="25"/>
      <c r="U23" s="25"/>
      <c r="V23" s="25"/>
      <c r="W23" s="25"/>
      <c r="X23" s="25"/>
      <c r="Y23" s="25"/>
      <c r="Z23" s="25"/>
    </row>
    <row r="24" ht="15.75" customHeight="1">
      <c r="B24" s="13" t="s">
        <v>229</v>
      </c>
      <c r="C24" s="11">
        <f>COUNT('12. LMS (Training)'!A2:A34)</f>
        <v>26</v>
      </c>
      <c r="D24" s="11">
        <f>COUNTIF('12. LMS (Training)'!D2:D34,"Pass")</f>
        <v>0</v>
      </c>
      <c r="E24" s="11">
        <f>COUNTIF('12. LMS (Training)'!D2:D34,"Fail")</f>
        <v>0</v>
      </c>
      <c r="F24" s="11">
        <f>COUNTIF('12. LMS (Training)'!D2:D34,"Blocked")</f>
        <v>0</v>
      </c>
      <c r="G24" s="11">
        <f>C24-D24-E24-F24-COUNTIF('12. LMS (Training)'!D2:D34,"N/A")</f>
        <v>26</v>
      </c>
      <c r="H24" s="24">
        <f t="shared" si="1"/>
        <v>0</v>
      </c>
    </row>
    <row r="25" ht="15.75" customHeight="1">
      <c r="A25" s="25"/>
      <c r="B25" s="26" t="s">
        <v>236</v>
      </c>
      <c r="C25" s="27">
        <f>COUNT('13. Automations'!A2:A48)</f>
        <v>38</v>
      </c>
      <c r="D25" s="27">
        <f>COUNTIF('13. Automations'!D2:D48,"Pass")</f>
        <v>25</v>
      </c>
      <c r="E25" s="27">
        <f>COUNTIF('13. Automations'!D2:D48,"Fail")</f>
        <v>2</v>
      </c>
      <c r="F25" s="27">
        <f>COUNTIF('13. Automations'!D2:D48,"Blocked")</f>
        <v>3</v>
      </c>
      <c r="G25" s="27">
        <f>C25-D25-E25-F25-COUNTIF('13. Automations'!D2:D48,"N/A")</f>
        <v>7</v>
      </c>
      <c r="H25" s="28">
        <f t="shared" si="1"/>
        <v>0.6578947368</v>
      </c>
      <c r="I25" s="25"/>
      <c r="J25" s="25"/>
      <c r="K25" s="25"/>
      <c r="L25" s="25"/>
      <c r="M25" s="25"/>
      <c r="N25" s="25"/>
      <c r="O25" s="25"/>
      <c r="P25" s="25"/>
      <c r="Q25" s="25"/>
      <c r="R25" s="25"/>
      <c r="S25" s="25"/>
      <c r="T25" s="25"/>
      <c r="U25" s="25"/>
      <c r="V25" s="25"/>
      <c r="W25" s="25"/>
      <c r="X25" s="25"/>
      <c r="Y25" s="25"/>
      <c r="Z25" s="25"/>
    </row>
    <row r="26" ht="15.75" customHeight="1">
      <c r="B26" s="13" t="s">
        <v>252</v>
      </c>
      <c r="C26" s="11">
        <f>COUNT('14. Goals &amp; Rewards'!A2:A58)</f>
        <v>45</v>
      </c>
      <c r="D26" s="11">
        <f>COUNTIF('14. Goals &amp; Rewards'!D2:D58,"Pass")</f>
        <v>7</v>
      </c>
      <c r="E26" s="11">
        <f>COUNTIF('14. Goals &amp; Rewards'!D2:D58,"Fail")</f>
        <v>0</v>
      </c>
      <c r="F26" s="11">
        <f>COUNTIF('14. Goals &amp; Rewards'!D2:D58,"Blocked")</f>
        <v>1</v>
      </c>
      <c r="G26" s="11">
        <f>C26-D26-E26-F26-COUNTIF('14. Goals &amp; Rewards'!D2:D58,"N/A")</f>
        <v>37</v>
      </c>
      <c r="H26" s="24">
        <f t="shared" si="1"/>
        <v>0.1555555556</v>
      </c>
    </row>
    <row r="27" ht="15.75" customHeight="1">
      <c r="A27" s="25"/>
      <c r="B27" s="26" t="s">
        <v>268</v>
      </c>
      <c r="C27" s="27">
        <f>COUNT('15. Billing'!A2:A22)</f>
        <v>17</v>
      </c>
      <c r="D27" s="27">
        <f>COUNTIF('15. Billing'!D2:D22,"Pass")</f>
        <v>12</v>
      </c>
      <c r="E27" s="27">
        <f>COUNTIF('15. Billing'!D2:D22,"Fail")</f>
        <v>3</v>
      </c>
      <c r="F27" s="27">
        <f>COUNTIF('15. Billing'!D2:D22,"Blocked")</f>
        <v>1</v>
      </c>
      <c r="G27" s="27">
        <f>C27-D27-E27-F27-COUNTIF('15. Billing'!D2:D22,"N/A")</f>
        <v>1</v>
      </c>
      <c r="H27" s="28">
        <f t="shared" si="1"/>
        <v>0.7058823529</v>
      </c>
      <c r="I27" s="25"/>
      <c r="J27" s="25"/>
      <c r="K27" s="25"/>
      <c r="L27" s="25"/>
      <c r="M27" s="25"/>
      <c r="N27" s="25"/>
      <c r="O27" s="25"/>
      <c r="P27" s="25"/>
      <c r="Q27" s="25"/>
      <c r="R27" s="25"/>
      <c r="S27" s="25"/>
      <c r="T27" s="25"/>
      <c r="U27" s="25"/>
      <c r="V27" s="25"/>
      <c r="W27" s="25"/>
      <c r="X27" s="25"/>
      <c r="Y27" s="25"/>
      <c r="Z27" s="25"/>
    </row>
    <row r="28" ht="15.75" customHeight="1">
      <c r="B28" s="13" t="s">
        <v>286</v>
      </c>
      <c r="C28" s="11">
        <f>COUNT('16. Communications'!A2:A34)</f>
        <v>27</v>
      </c>
      <c r="D28" s="11">
        <f>COUNTIF('16. Communications'!D2:D34,"Pass")</f>
        <v>9</v>
      </c>
      <c r="E28" s="11">
        <f>COUNTIF('16. Communications'!D2:D34,"Fail")</f>
        <v>1</v>
      </c>
      <c r="F28" s="11">
        <f>COUNTIF('16. Communications'!D2:D34,"Blocked")</f>
        <v>10</v>
      </c>
      <c r="G28" s="11">
        <f>C28-D28-E28-F28-COUNTIF('16. Communications'!D2:D34,"N/A")</f>
        <v>6</v>
      </c>
      <c r="H28" s="24">
        <f t="shared" si="1"/>
        <v>0.3333333333</v>
      </c>
    </row>
    <row r="29" ht="15.75" customHeight="1">
      <c r="B29" s="13" t="s">
        <v>292</v>
      </c>
      <c r="C29" s="11">
        <f>COUNT('17. Reports'!A2:A18)</f>
        <v>14</v>
      </c>
      <c r="D29" s="11">
        <f>COUNTIF('17. Reports'!D2:D18,"Pass")</f>
        <v>5</v>
      </c>
      <c r="E29" s="11">
        <f>COUNTIF('17. Reports'!D2:D18,"Fail")</f>
        <v>2</v>
      </c>
      <c r="F29" s="11">
        <f>COUNTIF('17. Reports'!D2:D18,"Blocked")</f>
        <v>4</v>
      </c>
      <c r="G29" s="11">
        <f>C29-D29-E29-F29-COUNTIF('17. Reports'!D2:D18,"N/A")</f>
        <v>3</v>
      </c>
      <c r="H29" s="24">
        <f t="shared" si="1"/>
        <v>0.3571428571</v>
      </c>
    </row>
    <row r="30" ht="15.75" customHeight="1">
      <c r="B30" s="13" t="s">
        <v>298</v>
      </c>
      <c r="C30" s="11">
        <f>COUNT('18. Misc (Cross-Module)'!A2:A52)</f>
        <v>38</v>
      </c>
      <c r="D30" s="11">
        <f>COUNTIF('18. Misc (Cross-Module)'!D2:D52,"Pass")</f>
        <v>0</v>
      </c>
      <c r="E30" s="11">
        <f>COUNTIF('18. Misc (Cross-Module)'!D2:D52,"Fail")</f>
        <v>0</v>
      </c>
      <c r="F30" s="11">
        <f>COUNTIF('18. Misc (Cross-Module)'!D2:D52,"Blocked")</f>
        <v>0</v>
      </c>
      <c r="G30" s="11">
        <f>C30-D30-E30-F30-COUNTIF('18. Misc (Cross-Module)'!D2:D52,"N/A")</f>
        <v>38</v>
      </c>
      <c r="H30" s="24">
        <f t="shared" si="1"/>
        <v>0</v>
      </c>
    </row>
    <row r="31" ht="15.75" customHeight="1">
      <c r="B31" s="29" t="s">
        <v>305</v>
      </c>
      <c r="C31" s="30">
        <f t="shared" ref="C31:G31" si="2">SUM(C13:C30)</f>
        <v>566</v>
      </c>
      <c r="D31" s="30">
        <f t="shared" si="2"/>
        <v>85</v>
      </c>
      <c r="E31" s="30">
        <f t="shared" si="2"/>
        <v>15</v>
      </c>
      <c r="F31" s="30">
        <f t="shared" si="2"/>
        <v>33</v>
      </c>
      <c r="G31" s="30">
        <f t="shared" si="2"/>
        <v>429</v>
      </c>
      <c r="H31" s="31">
        <f t="shared" si="1"/>
        <v>0.1501766784</v>
      </c>
    </row>
    <row r="32" ht="15.75" customHeight="1"/>
    <row r="33" ht="15.75" customHeight="1">
      <c r="B33" s="32" t="s">
        <v>316</v>
      </c>
      <c r="C33" s="33" t="s">
        <v>317</v>
      </c>
      <c r="D33" s="8"/>
      <c r="E33" s="10"/>
    </row>
    <row r="34" ht="15.75" customHeight="1">
      <c r="B34" s="32" t="s">
        <v>320</v>
      </c>
      <c r="C34" s="34"/>
      <c r="D34" s="8"/>
      <c r="E34" s="10"/>
    </row>
    <row r="35" ht="15.75" customHeight="1"/>
    <row r="36" ht="15.75" customHeight="1">
      <c r="B36" s="14" t="s">
        <v>326</v>
      </c>
    </row>
    <row r="37" ht="15.75" customHeight="1">
      <c r="B37" s="35"/>
      <c r="C37" s="36"/>
      <c r="D37" s="36"/>
      <c r="E37" s="36"/>
      <c r="F37" s="36"/>
      <c r="G37" s="36"/>
      <c r="H37" s="37"/>
    </row>
    <row r="38" ht="15.75" customHeight="1">
      <c r="B38" s="38"/>
      <c r="H38" s="39"/>
    </row>
    <row r="39" ht="15.75" customHeight="1">
      <c r="B39" s="38"/>
      <c r="H39" s="39"/>
    </row>
    <row r="40" ht="15.75" customHeight="1">
      <c r="B40" s="40"/>
      <c r="C40" s="41"/>
      <c r="D40" s="41"/>
      <c r="E40" s="41"/>
      <c r="F40" s="41"/>
      <c r="G40" s="41"/>
      <c r="H40" s="42"/>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F7:H7"/>
    <mergeCell ref="F8:H8"/>
    <mergeCell ref="C9:D9"/>
    <mergeCell ref="F9:H9"/>
    <mergeCell ref="B11:H11"/>
    <mergeCell ref="C33:E33"/>
    <mergeCell ref="C34:E34"/>
    <mergeCell ref="B37:H40"/>
    <mergeCell ref="B2:H2"/>
    <mergeCell ref="B3:H3"/>
    <mergeCell ref="B5:H5"/>
    <mergeCell ref="C6:D6"/>
    <mergeCell ref="F6:H6"/>
    <mergeCell ref="C7:D7"/>
    <mergeCell ref="C8:D8"/>
  </mergeCells>
  <dataValidations>
    <dataValidation type="list" allowBlank="1" sqref="C33">
      <formula1>"Go,No-Go,Go with conditions"</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2" width="109.86"/>
    <col customWidth="1" min="3" max="26" width="8.71"/>
  </cols>
  <sheetData>
    <row r="2" ht="25.5" customHeight="1">
      <c r="B2" s="1" t="s">
        <v>0</v>
      </c>
    </row>
    <row r="3">
      <c r="B3" s="3" t="s">
        <v>3</v>
      </c>
    </row>
    <row r="4" ht="21.75" customHeight="1">
      <c r="B4" s="4" t="s">
        <v>5</v>
      </c>
    </row>
    <row r="5" ht="19.5" customHeight="1">
      <c r="B5" s="3" t="s">
        <v>8</v>
      </c>
    </row>
    <row r="6" ht="19.5" customHeight="1">
      <c r="B6" s="3" t="s">
        <v>9</v>
      </c>
    </row>
    <row r="7">
      <c r="B7" s="3" t="s">
        <v>11</v>
      </c>
    </row>
    <row r="8" ht="21.75" customHeight="1">
      <c r="B8" s="4" t="s">
        <v>13</v>
      </c>
    </row>
    <row r="9" ht="19.5" customHeight="1">
      <c r="B9" s="3" t="s">
        <v>14</v>
      </c>
    </row>
    <row r="10" ht="19.5" customHeight="1">
      <c r="B10" s="3" t="s">
        <v>16</v>
      </c>
    </row>
    <row r="11" ht="19.5" customHeight="1">
      <c r="B11" s="3" t="s">
        <v>17</v>
      </c>
    </row>
    <row r="12" ht="19.5" customHeight="1">
      <c r="B12" s="3" t="s">
        <v>18</v>
      </c>
    </row>
    <row r="13" ht="19.5" customHeight="1">
      <c r="B13" s="3" t="s">
        <v>20</v>
      </c>
    </row>
    <row r="14" ht="21.75" customHeight="1">
      <c r="B14" s="4" t="s">
        <v>21</v>
      </c>
    </row>
    <row r="15" ht="19.5" customHeight="1">
      <c r="B15" s="3" t="s">
        <v>24</v>
      </c>
    </row>
    <row r="16" ht="19.5" customHeight="1">
      <c r="B16" s="3" t="s">
        <v>25</v>
      </c>
    </row>
    <row r="17" ht="19.5" customHeight="1">
      <c r="B17" s="3" t="s">
        <v>28</v>
      </c>
    </row>
    <row r="18" ht="19.5" customHeight="1">
      <c r="B18" s="3" t="s">
        <v>29</v>
      </c>
    </row>
    <row r="19" ht="21.75" customHeight="1">
      <c r="B19" s="4" t="s">
        <v>31</v>
      </c>
    </row>
    <row r="20" ht="19.5" customHeight="1">
      <c r="B20" s="3" t="s">
        <v>33</v>
      </c>
    </row>
    <row r="21" ht="19.5" customHeight="1">
      <c r="B21" s="3" t="s">
        <v>36</v>
      </c>
    </row>
    <row r="22" ht="19.5" customHeight="1">
      <c r="B22" s="3" t="s">
        <v>38</v>
      </c>
    </row>
    <row r="23" ht="19.5" customHeight="1">
      <c r="B23" s="3" t="s">
        <v>39</v>
      </c>
    </row>
    <row r="24">
      <c r="B24" s="3" t="s">
        <v>41</v>
      </c>
    </row>
    <row r="25">
      <c r="B25" s="3" t="s">
        <v>43</v>
      </c>
    </row>
    <row r="26">
      <c r="B26" s="3" t="s">
        <v>47</v>
      </c>
    </row>
    <row r="27" ht="21.75" customHeight="1">
      <c r="B27" s="4" t="s">
        <v>49</v>
      </c>
    </row>
    <row r="28" ht="19.5" customHeight="1">
      <c r="B28" s="3" t="s">
        <v>52</v>
      </c>
    </row>
    <row r="29">
      <c r="B29" s="3" t="s">
        <v>55</v>
      </c>
    </row>
    <row r="30">
      <c r="B30" s="3" t="s">
        <v>56</v>
      </c>
    </row>
    <row r="31">
      <c r="B31" s="3" t="s">
        <v>58</v>
      </c>
    </row>
    <row r="32">
      <c r="B32" s="3" t="s">
        <v>60</v>
      </c>
    </row>
    <row r="33" ht="19.5" customHeight="1">
      <c r="B33" s="3" t="s">
        <v>63</v>
      </c>
    </row>
    <row r="34" ht="19.5" customHeight="1">
      <c r="B34" s="3" t="s">
        <v>67</v>
      </c>
    </row>
    <row r="35">
      <c r="B35" s="3" t="s">
        <v>69</v>
      </c>
    </row>
    <row r="36" ht="21.75" customHeight="1">
      <c r="B36" s="4" t="s">
        <v>71</v>
      </c>
    </row>
    <row r="37" ht="19.5" customHeight="1">
      <c r="B37" s="3" t="s">
        <v>73</v>
      </c>
    </row>
    <row r="38">
      <c r="B38" s="3" t="s">
        <v>74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23</v>
      </c>
      <c r="B2" s="8"/>
      <c r="C2" s="8"/>
      <c r="D2" s="8"/>
      <c r="E2" s="10"/>
    </row>
    <row r="3">
      <c r="A3" s="11">
        <v>1.0</v>
      </c>
      <c r="B3" s="13" t="s">
        <v>32</v>
      </c>
      <c r="C3" s="13" t="s">
        <v>34</v>
      </c>
      <c r="D3" s="16"/>
      <c r="E3" s="17"/>
    </row>
    <row r="4">
      <c r="A4" s="19">
        <v>2.0</v>
      </c>
      <c r="B4" s="20" t="s">
        <v>44</v>
      </c>
      <c r="C4" s="20" t="s">
        <v>50</v>
      </c>
      <c r="D4" s="16"/>
      <c r="E4" s="21"/>
    </row>
    <row r="5">
      <c r="A5" s="11">
        <v>3.0</v>
      </c>
      <c r="B5" s="13" t="s">
        <v>59</v>
      </c>
      <c r="C5" s="13" t="s">
        <v>61</v>
      </c>
      <c r="D5" s="16"/>
      <c r="E5" s="17"/>
    </row>
    <row r="6">
      <c r="A6" s="19">
        <v>4.0</v>
      </c>
      <c r="B6" s="20" t="s">
        <v>70</v>
      </c>
      <c r="C6" s="20" t="s">
        <v>72</v>
      </c>
      <c r="D6" s="16"/>
      <c r="E6" s="21"/>
    </row>
    <row r="7">
      <c r="A7" s="11">
        <v>5.0</v>
      </c>
      <c r="B7" s="13" t="s">
        <v>75</v>
      </c>
      <c r="C7" s="13" t="s">
        <v>78</v>
      </c>
      <c r="D7" s="16"/>
      <c r="E7" s="17"/>
    </row>
    <row r="8">
      <c r="A8" s="19">
        <v>6.0</v>
      </c>
      <c r="B8" s="20" t="s">
        <v>81</v>
      </c>
      <c r="C8" s="20" t="s">
        <v>83</v>
      </c>
      <c r="D8" s="16"/>
      <c r="E8" s="21"/>
    </row>
    <row r="9">
      <c r="A9" s="11">
        <v>7.0</v>
      </c>
      <c r="B9" s="13" t="s">
        <v>88</v>
      </c>
      <c r="C9" s="13" t="s">
        <v>90</v>
      </c>
      <c r="D9" s="16"/>
      <c r="E9" s="17"/>
    </row>
    <row r="10">
      <c r="A10" s="19">
        <v>8.0</v>
      </c>
      <c r="B10" s="20" t="s">
        <v>95</v>
      </c>
      <c r="C10" s="20" t="s">
        <v>96</v>
      </c>
      <c r="D10" s="16"/>
      <c r="E10" s="21"/>
    </row>
    <row r="11" ht="18.75" customHeight="1">
      <c r="A11" s="7" t="s">
        <v>98</v>
      </c>
      <c r="B11" s="8"/>
      <c r="C11" s="8"/>
      <c r="D11" s="8"/>
      <c r="E11" s="10"/>
    </row>
    <row r="12">
      <c r="A12" s="11">
        <v>9.0</v>
      </c>
      <c r="B12" s="13" t="s">
        <v>100</v>
      </c>
      <c r="C12" s="13" t="s">
        <v>101</v>
      </c>
      <c r="D12" s="16"/>
      <c r="E12" s="17"/>
    </row>
    <row r="13">
      <c r="A13" s="19">
        <v>10.0</v>
      </c>
      <c r="B13" s="20" t="s">
        <v>102</v>
      </c>
      <c r="C13" s="20" t="s">
        <v>104</v>
      </c>
      <c r="D13" s="16"/>
      <c r="E13" s="21"/>
    </row>
    <row r="14">
      <c r="A14" s="11">
        <v>11.0</v>
      </c>
      <c r="B14" s="13" t="s">
        <v>106</v>
      </c>
      <c r="C14" s="13" t="s">
        <v>107</v>
      </c>
      <c r="D14" s="16"/>
      <c r="E14" s="17"/>
    </row>
    <row r="15" ht="18.75" customHeight="1">
      <c r="A15" s="7" t="s">
        <v>109</v>
      </c>
      <c r="B15" s="8"/>
      <c r="C15" s="8"/>
      <c r="D15" s="8"/>
      <c r="E15" s="10"/>
    </row>
    <row r="16">
      <c r="A16" s="19">
        <v>12.0</v>
      </c>
      <c r="B16" s="20" t="s">
        <v>111</v>
      </c>
      <c r="C16" s="20" t="s">
        <v>112</v>
      </c>
      <c r="D16" s="16"/>
      <c r="E16" s="21"/>
    </row>
    <row r="17">
      <c r="A17" s="11">
        <v>13.0</v>
      </c>
      <c r="B17" s="13" t="s">
        <v>114</v>
      </c>
      <c r="C17" s="13" t="s">
        <v>116</v>
      </c>
      <c r="D17" s="16"/>
      <c r="E17" s="17"/>
    </row>
    <row r="18">
      <c r="A18" s="19">
        <v>14.0</v>
      </c>
      <c r="B18" s="20" t="s">
        <v>117</v>
      </c>
      <c r="C18" s="20" t="s">
        <v>118</v>
      </c>
      <c r="D18" s="16"/>
      <c r="E18" s="21"/>
    </row>
    <row r="19">
      <c r="A19" s="11">
        <v>15.0</v>
      </c>
      <c r="B19" s="13" t="s">
        <v>122</v>
      </c>
      <c r="C19" s="13" t="s">
        <v>123</v>
      </c>
      <c r="D19" s="16"/>
      <c r="E19" s="17"/>
    </row>
    <row r="20">
      <c r="A20" s="19">
        <v>16.0</v>
      </c>
      <c r="B20" s="20" t="s">
        <v>124</v>
      </c>
      <c r="C20" s="20" t="s">
        <v>126</v>
      </c>
      <c r="D20" s="16"/>
      <c r="E20" s="21"/>
    </row>
    <row r="21" ht="15.75" customHeight="1">
      <c r="A21" s="11">
        <v>17.0</v>
      </c>
      <c r="B21" s="13" t="s">
        <v>128</v>
      </c>
      <c r="C21" s="13" t="s">
        <v>129</v>
      </c>
      <c r="D21" s="16"/>
      <c r="E21" s="17"/>
    </row>
    <row r="22" ht="15.75" customHeight="1">
      <c r="A22" s="19">
        <v>18.0</v>
      </c>
      <c r="B22" s="20" t="s">
        <v>130</v>
      </c>
      <c r="C22" s="20" t="s">
        <v>131</v>
      </c>
      <c r="D22" s="16"/>
      <c r="E22" s="21"/>
    </row>
    <row r="23" ht="18.75" customHeight="1">
      <c r="A23" s="7" t="s">
        <v>133</v>
      </c>
      <c r="B23" s="8"/>
      <c r="C23" s="8"/>
      <c r="D23" s="8"/>
      <c r="E23" s="10"/>
    </row>
    <row r="24" ht="15.75" customHeight="1">
      <c r="A24" s="11">
        <v>19.0</v>
      </c>
      <c r="B24" s="13" t="s">
        <v>135</v>
      </c>
      <c r="C24" s="13" t="s">
        <v>136</v>
      </c>
      <c r="D24" s="16"/>
      <c r="E24" s="17"/>
    </row>
    <row r="25" ht="15.75" customHeight="1">
      <c r="A25" s="19">
        <v>20.0</v>
      </c>
      <c r="B25" s="20" t="s">
        <v>138</v>
      </c>
      <c r="C25" s="20" t="s">
        <v>140</v>
      </c>
      <c r="D25" s="16"/>
      <c r="E25" s="21"/>
    </row>
    <row r="26" ht="15.75" customHeight="1">
      <c r="A26" s="11">
        <v>21.0</v>
      </c>
      <c r="B26" s="13" t="s">
        <v>142</v>
      </c>
      <c r="C26" s="13" t="s">
        <v>143</v>
      </c>
      <c r="D26" s="16"/>
      <c r="E26" s="17"/>
    </row>
    <row r="27" ht="15.75" customHeight="1">
      <c r="A27" s="19">
        <v>22.0</v>
      </c>
      <c r="B27" s="20" t="s">
        <v>144</v>
      </c>
      <c r="C27" s="20" t="s">
        <v>145</v>
      </c>
      <c r="D27" s="16"/>
      <c r="E27" s="21"/>
    </row>
    <row r="28" ht="18.75" customHeight="1">
      <c r="A28" s="7" t="s">
        <v>147</v>
      </c>
      <c r="B28" s="8"/>
      <c r="C28" s="8"/>
      <c r="D28" s="8"/>
      <c r="E28" s="10"/>
    </row>
    <row r="29" ht="15.75" customHeight="1">
      <c r="A29" s="11">
        <v>23.0</v>
      </c>
      <c r="B29" s="13" t="s">
        <v>148</v>
      </c>
      <c r="C29" s="13" t="s">
        <v>149</v>
      </c>
      <c r="D29" s="16"/>
      <c r="E29" s="17"/>
    </row>
    <row r="30" ht="15.75" customHeight="1">
      <c r="A30" s="19">
        <v>24.0</v>
      </c>
      <c r="B30" s="20" t="s">
        <v>152</v>
      </c>
      <c r="C30" s="20" t="s">
        <v>154</v>
      </c>
      <c r="D30" s="16"/>
      <c r="E30" s="21"/>
    </row>
    <row r="31" ht="15.75" customHeight="1">
      <c r="A31" s="11">
        <v>25.0</v>
      </c>
      <c r="B31" s="13" t="s">
        <v>155</v>
      </c>
      <c r="C31" s="13" t="s">
        <v>156</v>
      </c>
      <c r="D31" s="16"/>
      <c r="E31" s="17"/>
    </row>
    <row r="32" ht="15.75" customHeight="1">
      <c r="A32" s="19">
        <v>26.0</v>
      </c>
      <c r="B32" s="20" t="s">
        <v>159</v>
      </c>
      <c r="C32" s="20" t="s">
        <v>160</v>
      </c>
      <c r="D32" s="16"/>
      <c r="E32" s="21"/>
    </row>
    <row r="33" ht="15.75" customHeight="1">
      <c r="A33" s="11">
        <v>27.0</v>
      </c>
      <c r="B33" s="13" t="s">
        <v>161</v>
      </c>
      <c r="C33" s="13" t="s">
        <v>163</v>
      </c>
      <c r="D33" s="16"/>
      <c r="E33" s="17"/>
    </row>
    <row r="34" ht="18.75" customHeight="1">
      <c r="A34" s="7" t="s">
        <v>166</v>
      </c>
      <c r="B34" s="8"/>
      <c r="C34" s="8"/>
      <c r="D34" s="8"/>
      <c r="E34" s="10"/>
    </row>
    <row r="35" ht="15.75" customHeight="1">
      <c r="A35" s="19">
        <v>28.0</v>
      </c>
      <c r="B35" s="20" t="s">
        <v>168</v>
      </c>
      <c r="C35" s="20" t="s">
        <v>170</v>
      </c>
      <c r="D35" s="16"/>
      <c r="E35" s="21"/>
    </row>
    <row r="36" ht="15.75" customHeight="1">
      <c r="A36" s="11">
        <v>29.0</v>
      </c>
      <c r="B36" s="13" t="s">
        <v>171</v>
      </c>
      <c r="C36" s="13" t="s">
        <v>173</v>
      </c>
      <c r="D36" s="16"/>
      <c r="E36" s="17"/>
    </row>
    <row r="37" ht="15.75" customHeight="1">
      <c r="A37" s="19">
        <v>30.0</v>
      </c>
      <c r="B37" s="20" t="s">
        <v>174</v>
      </c>
      <c r="C37" s="20" t="s">
        <v>176</v>
      </c>
      <c r="D37" s="16"/>
      <c r="E37" s="21"/>
    </row>
    <row r="38" ht="15.75" customHeight="1">
      <c r="A38" s="11">
        <v>31.0</v>
      </c>
      <c r="B38" s="13" t="s">
        <v>179</v>
      </c>
      <c r="C38" s="13" t="s">
        <v>180</v>
      </c>
      <c r="D38" s="16"/>
      <c r="E38" s="17"/>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E2"/>
    <mergeCell ref="A11:E11"/>
    <mergeCell ref="A15:E15"/>
    <mergeCell ref="A23:E23"/>
    <mergeCell ref="A28:E28"/>
    <mergeCell ref="A34:E34"/>
  </mergeCells>
  <conditionalFormatting sqref="D2:D38">
    <cfRule type="cellIs" dxfId="0" priority="1" operator="equal">
      <formula>"Pass"</formula>
    </cfRule>
  </conditionalFormatting>
  <conditionalFormatting sqref="D2:D38">
    <cfRule type="cellIs" dxfId="1" priority="2" operator="equal">
      <formula>"Fail"</formula>
    </cfRule>
  </conditionalFormatting>
  <conditionalFormatting sqref="D2:D38">
    <cfRule type="cellIs" dxfId="2" priority="3" operator="equal">
      <formula>"Blocked"</formula>
    </cfRule>
  </conditionalFormatting>
  <conditionalFormatting sqref="D2:D38">
    <cfRule type="cellIs" dxfId="3" priority="4" operator="equal">
      <formula>"N/A"</formula>
    </cfRule>
  </conditionalFormatting>
  <dataValidations>
    <dataValidation type="list" allowBlank="1" showInputMessage="1" showErrorMessage="1" prompt="Please choose Pass, Fail, Blocked or N/A." sqref="D3:D10 D12:D14 D16:D22 D24:D27 D29:D33 D35:D38">
      <formula1>"Pass,Fail,Blocked,N/A"</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12</v>
      </c>
      <c r="B2" s="8"/>
      <c r="C2" s="8"/>
      <c r="D2" s="8"/>
      <c r="E2" s="10"/>
    </row>
    <row r="3">
      <c r="A3" s="11">
        <v>1.0</v>
      </c>
      <c r="B3" s="13" t="s">
        <v>22</v>
      </c>
      <c r="C3" s="13" t="s">
        <v>26</v>
      </c>
      <c r="D3" s="16"/>
      <c r="E3" s="17"/>
    </row>
    <row r="4">
      <c r="A4" s="19">
        <v>2.0</v>
      </c>
      <c r="B4" s="20" t="s">
        <v>45</v>
      </c>
      <c r="C4" s="20" t="s">
        <v>51</v>
      </c>
      <c r="D4" s="16"/>
      <c r="E4" s="21"/>
    </row>
    <row r="5">
      <c r="A5" s="11">
        <v>3.0</v>
      </c>
      <c r="B5" s="13" t="s">
        <v>62</v>
      </c>
      <c r="C5" s="13" t="s">
        <v>65</v>
      </c>
      <c r="D5" s="16"/>
      <c r="E5" s="17"/>
    </row>
    <row r="6">
      <c r="A6" s="19">
        <v>4.0</v>
      </c>
      <c r="B6" s="20" t="s">
        <v>77</v>
      </c>
      <c r="C6" s="20" t="s">
        <v>79</v>
      </c>
      <c r="D6" s="16"/>
      <c r="E6" s="21"/>
    </row>
    <row r="7">
      <c r="A7" s="11">
        <v>5.0</v>
      </c>
      <c r="B7" s="13" t="s">
        <v>87</v>
      </c>
      <c r="C7" s="13" t="s">
        <v>91</v>
      </c>
      <c r="D7" s="16"/>
      <c r="E7" s="17"/>
    </row>
    <row r="8">
      <c r="A8" s="19">
        <v>6.0</v>
      </c>
      <c r="B8" s="20" t="s">
        <v>94</v>
      </c>
      <c r="C8" s="20" t="s">
        <v>97</v>
      </c>
      <c r="D8" s="16"/>
      <c r="E8" s="21"/>
    </row>
    <row r="9" ht="18.75" customHeight="1">
      <c r="A9" s="7" t="s">
        <v>99</v>
      </c>
      <c r="B9" s="8"/>
      <c r="C9" s="8"/>
      <c r="D9" s="8"/>
      <c r="E9" s="10"/>
    </row>
    <row r="10">
      <c r="A10" s="11">
        <v>7.0</v>
      </c>
      <c r="B10" s="13" t="s">
        <v>103</v>
      </c>
      <c r="C10" s="13" t="s">
        <v>105</v>
      </c>
      <c r="D10" s="16"/>
      <c r="E10" s="17"/>
    </row>
    <row r="11">
      <c r="A11" s="19">
        <v>8.0</v>
      </c>
      <c r="B11" s="20" t="s">
        <v>108</v>
      </c>
      <c r="C11" s="20" t="s">
        <v>110</v>
      </c>
      <c r="D11" s="16"/>
      <c r="E11" s="21"/>
    </row>
    <row r="12">
      <c r="A12" s="11">
        <v>9.0</v>
      </c>
      <c r="B12" s="13" t="s">
        <v>113</v>
      </c>
      <c r="C12" s="13" t="s">
        <v>115</v>
      </c>
      <c r="D12" s="16"/>
      <c r="E12" s="17"/>
    </row>
    <row r="13">
      <c r="A13" s="19">
        <v>10.0</v>
      </c>
      <c r="B13" s="20" t="s">
        <v>119</v>
      </c>
      <c r="C13" s="20" t="s">
        <v>120</v>
      </c>
      <c r="D13" s="16"/>
      <c r="E13" s="21"/>
    </row>
    <row r="14">
      <c r="A14" s="11">
        <v>11.0</v>
      </c>
      <c r="B14" s="13" t="s">
        <v>125</v>
      </c>
      <c r="C14" s="13" t="s">
        <v>127</v>
      </c>
      <c r="D14" s="16"/>
      <c r="E14" s="17"/>
    </row>
    <row r="15">
      <c r="A15" s="19">
        <v>12.0</v>
      </c>
      <c r="B15" s="20" t="s">
        <v>132</v>
      </c>
      <c r="C15" s="20" t="s">
        <v>134</v>
      </c>
      <c r="D15" s="16"/>
      <c r="E15" s="21"/>
    </row>
    <row r="16">
      <c r="A16" s="11">
        <v>13.0</v>
      </c>
      <c r="B16" s="13" t="s">
        <v>139</v>
      </c>
      <c r="C16" s="13" t="s">
        <v>141</v>
      </c>
      <c r="D16" s="16"/>
      <c r="E16" s="17"/>
    </row>
    <row r="17" ht="18.75" customHeight="1">
      <c r="A17" s="7" t="s">
        <v>146</v>
      </c>
      <c r="B17" s="8"/>
      <c r="C17" s="8"/>
      <c r="D17" s="8"/>
      <c r="E17" s="10"/>
    </row>
    <row r="18">
      <c r="A18" s="19">
        <v>14.0</v>
      </c>
      <c r="B18" s="20" t="s">
        <v>150</v>
      </c>
      <c r="C18" s="20" t="s">
        <v>153</v>
      </c>
      <c r="D18" s="16"/>
      <c r="E18" s="21"/>
    </row>
    <row r="19">
      <c r="A19" s="11">
        <v>15.0</v>
      </c>
      <c r="B19" s="13" t="s">
        <v>157</v>
      </c>
      <c r="C19" s="13" t="s">
        <v>158</v>
      </c>
      <c r="D19" s="16"/>
      <c r="E19" s="17"/>
    </row>
    <row r="20">
      <c r="A20" s="19">
        <v>16.0</v>
      </c>
      <c r="B20" s="20" t="s">
        <v>162</v>
      </c>
      <c r="C20" s="20" t="s">
        <v>164</v>
      </c>
      <c r="D20" s="16"/>
      <c r="E20" s="21"/>
    </row>
    <row r="21" ht="15.75" customHeight="1">
      <c r="A21" s="11">
        <v>17.0</v>
      </c>
      <c r="B21" s="13" t="s">
        <v>167</v>
      </c>
      <c r="C21" s="13" t="s">
        <v>169</v>
      </c>
      <c r="D21" s="16"/>
      <c r="E21" s="17"/>
    </row>
    <row r="22" ht="18.75" customHeight="1">
      <c r="A22" s="7" t="s">
        <v>172</v>
      </c>
      <c r="B22" s="8"/>
      <c r="C22" s="8"/>
      <c r="D22" s="8"/>
      <c r="E22" s="10"/>
    </row>
    <row r="23" ht="15.75" customHeight="1">
      <c r="A23" s="19">
        <v>18.0</v>
      </c>
      <c r="B23" s="20" t="s">
        <v>177</v>
      </c>
      <c r="C23" s="20" t="s">
        <v>178</v>
      </c>
      <c r="D23" s="16"/>
      <c r="E23" s="21"/>
    </row>
    <row r="24" ht="15.75" customHeight="1">
      <c r="A24" s="11">
        <v>19.0</v>
      </c>
      <c r="B24" s="13" t="s">
        <v>181</v>
      </c>
      <c r="C24" s="13" t="s">
        <v>182</v>
      </c>
      <c r="D24" s="16"/>
      <c r="E24" s="17"/>
    </row>
    <row r="25" ht="15.75" customHeight="1">
      <c r="A25" s="19">
        <v>20.0</v>
      </c>
      <c r="B25" s="20" t="s">
        <v>183</v>
      </c>
      <c r="C25" s="20" t="s">
        <v>184</v>
      </c>
      <c r="D25" s="16"/>
      <c r="E25" s="21"/>
    </row>
    <row r="26" ht="15.75" customHeight="1">
      <c r="A26" s="11">
        <v>21.0</v>
      </c>
      <c r="B26" s="13" t="s">
        <v>186</v>
      </c>
      <c r="C26" s="13" t="s">
        <v>187</v>
      </c>
      <c r="D26" s="16"/>
      <c r="E26" s="17"/>
    </row>
    <row r="27" ht="18.75" customHeight="1">
      <c r="A27" s="7" t="s">
        <v>188</v>
      </c>
      <c r="B27" s="8"/>
      <c r="C27" s="8"/>
      <c r="D27" s="8"/>
      <c r="E27" s="10"/>
    </row>
    <row r="28" ht="15.75" customHeight="1">
      <c r="A28" s="19">
        <v>22.0</v>
      </c>
      <c r="B28" s="20" t="s">
        <v>190</v>
      </c>
      <c r="C28" s="20" t="s">
        <v>191</v>
      </c>
      <c r="D28" s="16"/>
      <c r="E28" s="21"/>
    </row>
    <row r="29" ht="15.75" customHeight="1">
      <c r="A29" s="11">
        <v>23.0</v>
      </c>
      <c r="B29" s="13" t="s">
        <v>193</v>
      </c>
      <c r="C29" s="13" t="s">
        <v>195</v>
      </c>
      <c r="D29" s="16"/>
      <c r="E29" s="17"/>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E2"/>
    <mergeCell ref="A9:E9"/>
    <mergeCell ref="A17:E17"/>
    <mergeCell ref="A22:E22"/>
    <mergeCell ref="A27:E27"/>
  </mergeCells>
  <conditionalFormatting sqref="D2:D29">
    <cfRule type="cellIs" dxfId="0" priority="1" operator="equal">
      <formula>"Pass"</formula>
    </cfRule>
  </conditionalFormatting>
  <conditionalFormatting sqref="D2:D29">
    <cfRule type="cellIs" dxfId="1" priority="2" operator="equal">
      <formula>"Fail"</formula>
    </cfRule>
  </conditionalFormatting>
  <conditionalFormatting sqref="D2:D29">
    <cfRule type="cellIs" dxfId="2" priority="3" operator="equal">
      <formula>"Blocked"</formula>
    </cfRule>
  </conditionalFormatting>
  <conditionalFormatting sqref="D2:D29">
    <cfRule type="cellIs" dxfId="3" priority="4" operator="equal">
      <formula>"N/A"</formula>
    </cfRule>
  </conditionalFormatting>
  <dataValidations>
    <dataValidation type="list" allowBlank="1" showInputMessage="1" showErrorMessage="1" prompt="Please choose Pass, Fail, Blocked or N/A." sqref="D3:D8 D10:D16 D18:D21 D23:D26 D28:D29">
      <formula1>"Pass,Fail,Blocked,N/A"</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189</v>
      </c>
      <c r="B2" s="8"/>
      <c r="C2" s="8"/>
      <c r="D2" s="8"/>
      <c r="E2" s="10"/>
    </row>
    <row r="3">
      <c r="A3" s="11">
        <v>1.0</v>
      </c>
      <c r="B3" s="13" t="s">
        <v>192</v>
      </c>
      <c r="C3" s="13" t="s">
        <v>194</v>
      </c>
      <c r="D3" s="16"/>
      <c r="E3" s="17"/>
    </row>
    <row r="4">
      <c r="A4" s="19">
        <v>2.0</v>
      </c>
      <c r="B4" s="20" t="s">
        <v>197</v>
      </c>
      <c r="C4" s="20" t="s">
        <v>198</v>
      </c>
      <c r="D4" s="16"/>
      <c r="E4" s="21"/>
    </row>
    <row r="5">
      <c r="A5" s="11">
        <v>3.0</v>
      </c>
      <c r="B5" s="13" t="s">
        <v>199</v>
      </c>
      <c r="C5" s="13" t="s">
        <v>200</v>
      </c>
      <c r="D5" s="16"/>
      <c r="E5" s="17"/>
    </row>
    <row r="6">
      <c r="A6" s="19">
        <v>4.0</v>
      </c>
      <c r="B6" s="20" t="s">
        <v>201</v>
      </c>
      <c r="C6" s="20" t="s">
        <v>202</v>
      </c>
      <c r="D6" s="16"/>
      <c r="E6" s="21"/>
    </row>
    <row r="7">
      <c r="A7" s="11">
        <v>5.0</v>
      </c>
      <c r="B7" s="13" t="s">
        <v>203</v>
      </c>
      <c r="C7" s="13" t="s">
        <v>204</v>
      </c>
      <c r="D7" s="16"/>
      <c r="E7" s="17"/>
    </row>
    <row r="8">
      <c r="A8" s="19">
        <v>6.0</v>
      </c>
      <c r="B8" s="20" t="s">
        <v>206</v>
      </c>
      <c r="C8" s="20" t="s">
        <v>207</v>
      </c>
      <c r="D8" s="16"/>
      <c r="E8" s="21"/>
    </row>
    <row r="9">
      <c r="A9" s="11">
        <v>7.0</v>
      </c>
      <c r="B9" s="13" t="s">
        <v>208</v>
      </c>
      <c r="C9" s="13" t="s">
        <v>209</v>
      </c>
      <c r="D9" s="16"/>
      <c r="E9" s="17"/>
    </row>
    <row r="10" ht="18.75" customHeight="1">
      <c r="A10" s="7" t="s">
        <v>210</v>
      </c>
      <c r="B10" s="8"/>
      <c r="C10" s="8"/>
      <c r="D10" s="8"/>
      <c r="E10" s="10"/>
    </row>
    <row r="11">
      <c r="A11" s="19">
        <v>8.0</v>
      </c>
      <c r="B11" s="20" t="s">
        <v>211</v>
      </c>
      <c r="C11" s="20" t="s">
        <v>212</v>
      </c>
      <c r="D11" s="16"/>
      <c r="E11" s="21"/>
    </row>
    <row r="12">
      <c r="A12" s="11">
        <v>9.0</v>
      </c>
      <c r="B12" s="13" t="s">
        <v>214</v>
      </c>
      <c r="C12" s="13" t="s">
        <v>215</v>
      </c>
      <c r="D12" s="16"/>
      <c r="E12" s="17"/>
    </row>
    <row r="13">
      <c r="A13" s="19">
        <v>10.0</v>
      </c>
      <c r="B13" s="20" t="s">
        <v>216</v>
      </c>
      <c r="C13" s="20" t="s">
        <v>217</v>
      </c>
      <c r="D13" s="16"/>
      <c r="E13" s="21"/>
    </row>
    <row r="14">
      <c r="A14" s="11">
        <v>11.0</v>
      </c>
      <c r="B14" s="13" t="s">
        <v>218</v>
      </c>
      <c r="C14" s="13" t="s">
        <v>219</v>
      </c>
      <c r="D14" s="16"/>
      <c r="E14" s="17"/>
    </row>
    <row r="15">
      <c r="A15" s="19">
        <v>12.0</v>
      </c>
      <c r="B15" s="20" t="s">
        <v>220</v>
      </c>
      <c r="C15" s="20" t="s">
        <v>221</v>
      </c>
      <c r="D15" s="16"/>
      <c r="E15" s="21"/>
    </row>
    <row r="16" ht="18.75" customHeight="1">
      <c r="A16" s="7" t="s">
        <v>223</v>
      </c>
      <c r="B16" s="8"/>
      <c r="C16" s="8"/>
      <c r="D16" s="8"/>
      <c r="E16" s="10"/>
    </row>
    <row r="17">
      <c r="A17" s="11">
        <v>13.0</v>
      </c>
      <c r="B17" s="13" t="s">
        <v>224</v>
      </c>
      <c r="C17" s="13" t="s">
        <v>212</v>
      </c>
      <c r="D17" s="16"/>
      <c r="E17" s="17"/>
    </row>
    <row r="18">
      <c r="A18" s="19">
        <v>14.0</v>
      </c>
      <c r="B18" s="20" t="s">
        <v>225</v>
      </c>
      <c r="C18" s="20" t="s">
        <v>226</v>
      </c>
      <c r="D18" s="16"/>
      <c r="E18" s="21"/>
    </row>
    <row r="19">
      <c r="A19" s="11">
        <v>15.0</v>
      </c>
      <c r="B19" s="13" t="s">
        <v>227</v>
      </c>
      <c r="C19" s="13" t="s">
        <v>228</v>
      </c>
      <c r="D19" s="16"/>
      <c r="E19" s="17"/>
    </row>
    <row r="20" ht="18.75" customHeight="1">
      <c r="A20" s="7" t="s">
        <v>230</v>
      </c>
      <c r="B20" s="8"/>
      <c r="C20" s="8"/>
      <c r="D20" s="8"/>
      <c r="E20" s="10"/>
    </row>
    <row r="21" ht="15.75" customHeight="1">
      <c r="A21" s="19">
        <v>16.0</v>
      </c>
      <c r="B21" s="20" t="s">
        <v>231</v>
      </c>
      <c r="C21" s="20" t="s">
        <v>212</v>
      </c>
      <c r="D21" s="16"/>
      <c r="E21" s="21"/>
    </row>
    <row r="22" ht="15.75" customHeight="1">
      <c r="A22" s="11">
        <v>17.0</v>
      </c>
      <c r="B22" s="13" t="s">
        <v>232</v>
      </c>
      <c r="C22" s="13" t="s">
        <v>234</v>
      </c>
      <c r="D22" s="16"/>
      <c r="E22" s="17"/>
    </row>
    <row r="23" ht="15.75" customHeight="1">
      <c r="A23" s="19">
        <v>18.0</v>
      </c>
      <c r="B23" s="20" t="s">
        <v>238</v>
      </c>
      <c r="C23" s="20" t="s">
        <v>212</v>
      </c>
      <c r="D23" s="16"/>
      <c r="E23" s="21"/>
    </row>
    <row r="24" ht="15.75" customHeight="1">
      <c r="A24" s="11">
        <v>19.0</v>
      </c>
      <c r="B24" s="13" t="s">
        <v>245</v>
      </c>
      <c r="C24" s="13" t="s">
        <v>246</v>
      </c>
      <c r="D24" s="16"/>
      <c r="E24" s="17"/>
    </row>
    <row r="25" ht="15.75" customHeight="1">
      <c r="A25" s="19">
        <v>20.0</v>
      </c>
      <c r="B25" s="20" t="s">
        <v>250</v>
      </c>
      <c r="C25" s="20" t="s">
        <v>212</v>
      </c>
      <c r="D25" s="16"/>
      <c r="E25" s="21"/>
    </row>
    <row r="26" ht="15.75" customHeight="1">
      <c r="A26" s="11">
        <v>21.0</v>
      </c>
      <c r="B26" s="13" t="s">
        <v>256</v>
      </c>
      <c r="C26" s="13" t="s">
        <v>257</v>
      </c>
      <c r="D26" s="16"/>
      <c r="E26" s="17"/>
    </row>
    <row r="27" ht="15.75" customHeight="1">
      <c r="A27" s="19">
        <v>22.0</v>
      </c>
      <c r="B27" s="20" t="s">
        <v>261</v>
      </c>
      <c r="C27" s="20" t="s">
        <v>212</v>
      </c>
      <c r="D27" s="16"/>
      <c r="E27" s="21"/>
    </row>
    <row r="28" ht="15.75" customHeight="1">
      <c r="A28" s="11">
        <v>23.0</v>
      </c>
      <c r="B28" s="13" t="s">
        <v>266</v>
      </c>
      <c r="C28" s="13" t="s">
        <v>267</v>
      </c>
      <c r="D28" s="16"/>
      <c r="E28" s="17"/>
    </row>
    <row r="29" ht="18.75" customHeight="1">
      <c r="A29" s="7" t="s">
        <v>271</v>
      </c>
      <c r="B29" s="8"/>
      <c r="C29" s="8"/>
      <c r="D29" s="8"/>
      <c r="E29" s="10"/>
    </row>
    <row r="30" ht="15.75" customHeight="1">
      <c r="A30" s="19">
        <v>24.0</v>
      </c>
      <c r="B30" s="20" t="s">
        <v>275</v>
      </c>
      <c r="C30" s="20" t="s">
        <v>212</v>
      </c>
      <c r="D30" s="16"/>
      <c r="E30" s="21"/>
    </row>
    <row r="31" ht="15.75" customHeight="1">
      <c r="A31" s="11">
        <v>25.0</v>
      </c>
      <c r="B31" s="13" t="s">
        <v>279</v>
      </c>
      <c r="C31" s="13" t="s">
        <v>282</v>
      </c>
      <c r="D31" s="16"/>
      <c r="E31" s="17"/>
    </row>
    <row r="32" ht="18.75" customHeight="1">
      <c r="A32" s="7" t="s">
        <v>285</v>
      </c>
      <c r="B32" s="8"/>
      <c r="C32" s="8"/>
      <c r="D32" s="8"/>
      <c r="E32" s="10"/>
    </row>
    <row r="33" ht="15.75" customHeight="1">
      <c r="A33" s="19">
        <v>26.0</v>
      </c>
      <c r="B33" s="20" t="s">
        <v>287</v>
      </c>
      <c r="C33" s="20" t="s">
        <v>288</v>
      </c>
      <c r="D33" s="16"/>
      <c r="E33" s="21"/>
    </row>
    <row r="34" ht="15.75" customHeight="1">
      <c r="A34" s="11">
        <v>27.0</v>
      </c>
      <c r="B34" s="13" t="s">
        <v>289</v>
      </c>
      <c r="C34" s="13" t="s">
        <v>290</v>
      </c>
      <c r="D34" s="16"/>
      <c r="E34" s="17"/>
    </row>
    <row r="35" ht="18.75" customHeight="1">
      <c r="A35" s="7" t="s">
        <v>291</v>
      </c>
      <c r="B35" s="8"/>
      <c r="C35" s="8"/>
      <c r="D35" s="8"/>
      <c r="E35" s="10"/>
    </row>
    <row r="36" ht="15.75" customHeight="1">
      <c r="A36" s="19">
        <v>28.0</v>
      </c>
      <c r="B36" s="20" t="s">
        <v>293</v>
      </c>
      <c r="C36" s="20" t="s">
        <v>294</v>
      </c>
      <c r="D36" s="16"/>
      <c r="E36" s="21"/>
    </row>
    <row r="37" ht="15.75" customHeight="1">
      <c r="A37" s="11">
        <v>29.0</v>
      </c>
      <c r="B37" s="13" t="s">
        <v>295</v>
      </c>
      <c r="C37" s="13" t="s">
        <v>296</v>
      </c>
      <c r="D37" s="16"/>
      <c r="E37" s="17"/>
    </row>
    <row r="38" ht="18.75" customHeight="1">
      <c r="A38" s="7" t="s">
        <v>297</v>
      </c>
      <c r="B38" s="8"/>
      <c r="C38" s="8"/>
      <c r="D38" s="8"/>
      <c r="E38" s="10"/>
    </row>
    <row r="39" ht="15.75" customHeight="1">
      <c r="A39" s="19">
        <v>30.0</v>
      </c>
      <c r="B39" s="20" t="s">
        <v>299</v>
      </c>
      <c r="C39" s="20" t="s">
        <v>300</v>
      </c>
      <c r="D39" s="16"/>
      <c r="E39" s="21"/>
    </row>
    <row r="40" ht="15.75" customHeight="1">
      <c r="A40" s="11">
        <v>31.0</v>
      </c>
      <c r="B40" s="13" t="s">
        <v>302</v>
      </c>
      <c r="C40" s="13" t="s">
        <v>303</v>
      </c>
      <c r="D40" s="16"/>
      <c r="E40" s="17"/>
    </row>
    <row r="41" ht="15.75" customHeight="1">
      <c r="A41" s="19">
        <v>32.0</v>
      </c>
      <c r="B41" s="20" t="s">
        <v>307</v>
      </c>
      <c r="C41" s="20" t="s">
        <v>308</v>
      </c>
      <c r="D41" s="16"/>
      <c r="E41" s="21"/>
    </row>
    <row r="42" ht="18.75" customHeight="1">
      <c r="A42" s="7" t="s">
        <v>310</v>
      </c>
      <c r="B42" s="8"/>
      <c r="C42" s="8"/>
      <c r="D42" s="8"/>
      <c r="E42" s="10"/>
    </row>
    <row r="43" ht="15.75" customHeight="1">
      <c r="A43" s="11">
        <v>33.0</v>
      </c>
      <c r="B43" s="13" t="s">
        <v>313</v>
      </c>
      <c r="C43" s="13" t="s">
        <v>315</v>
      </c>
      <c r="D43" s="16"/>
      <c r="E43" s="17"/>
    </row>
    <row r="44" ht="15.75" customHeight="1">
      <c r="A44" s="19">
        <v>34.0</v>
      </c>
      <c r="B44" s="20" t="s">
        <v>319</v>
      </c>
      <c r="C44" s="20" t="s">
        <v>322</v>
      </c>
      <c r="D44" s="16"/>
      <c r="E44" s="21"/>
    </row>
    <row r="45" ht="18.75" customHeight="1">
      <c r="A45" s="7" t="s">
        <v>324</v>
      </c>
      <c r="B45" s="8"/>
      <c r="C45" s="8"/>
      <c r="D45" s="8"/>
      <c r="E45" s="10"/>
    </row>
    <row r="46" ht="15.75" customHeight="1">
      <c r="A46" s="11">
        <v>35.0</v>
      </c>
      <c r="B46" s="13" t="s">
        <v>328</v>
      </c>
      <c r="C46" s="13" t="s">
        <v>330</v>
      </c>
      <c r="D46" s="16"/>
      <c r="E46" s="17"/>
    </row>
    <row r="47" ht="15.75" customHeight="1">
      <c r="A47" s="19">
        <v>36.0</v>
      </c>
      <c r="B47" s="20" t="s">
        <v>332</v>
      </c>
      <c r="C47" s="20" t="s">
        <v>334</v>
      </c>
      <c r="D47" s="16"/>
      <c r="E47" s="21"/>
    </row>
    <row r="48" ht="15.75" customHeight="1">
      <c r="A48" s="11">
        <v>37.0</v>
      </c>
      <c r="B48" s="13" t="s">
        <v>336</v>
      </c>
      <c r="C48" s="13" t="s">
        <v>337</v>
      </c>
      <c r="D48" s="16"/>
      <c r="E48" s="17"/>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8:E38"/>
    <mergeCell ref="A42:E42"/>
    <mergeCell ref="A45:E45"/>
    <mergeCell ref="A2:E2"/>
    <mergeCell ref="A10:E10"/>
    <mergeCell ref="A16:E16"/>
    <mergeCell ref="A20:E20"/>
    <mergeCell ref="A29:E29"/>
    <mergeCell ref="A32:E32"/>
    <mergeCell ref="A35:E35"/>
  </mergeCells>
  <conditionalFormatting sqref="D2:D48">
    <cfRule type="cellIs" dxfId="0" priority="1" operator="equal">
      <formula>"Pass"</formula>
    </cfRule>
  </conditionalFormatting>
  <conditionalFormatting sqref="D2:D48">
    <cfRule type="cellIs" dxfId="1" priority="2" operator="equal">
      <formula>"Fail"</formula>
    </cfRule>
  </conditionalFormatting>
  <conditionalFormatting sqref="D2:D48">
    <cfRule type="cellIs" dxfId="2" priority="3" operator="equal">
      <formula>"Blocked"</formula>
    </cfRule>
  </conditionalFormatting>
  <conditionalFormatting sqref="D2:D48">
    <cfRule type="cellIs" dxfId="3" priority="4" operator="equal">
      <formula>"N/A"</formula>
    </cfRule>
  </conditionalFormatting>
  <dataValidations>
    <dataValidation type="list" allowBlank="1" showInputMessage="1" showErrorMessage="1" prompt="Please choose Pass, Fail, Blocked or N/A." sqref="D3:D9 D11:D15 D17:D19 D21:D28 D30:D31 D33:D34 D36:D37 D39:D41 D43:D44 D46:D48">
      <formula1>"Pass,Fail,Blocked,N/A"</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233</v>
      </c>
      <c r="B2" s="8"/>
      <c r="C2" s="8"/>
      <c r="D2" s="8"/>
      <c r="E2" s="10"/>
    </row>
    <row r="3">
      <c r="A3" s="11">
        <v>1.0</v>
      </c>
      <c r="B3" s="13" t="s">
        <v>235</v>
      </c>
      <c r="C3" s="13" t="s">
        <v>237</v>
      </c>
      <c r="D3" s="16"/>
      <c r="E3" s="17"/>
    </row>
    <row r="4">
      <c r="A4" s="19">
        <v>2.0</v>
      </c>
      <c r="B4" s="20" t="s">
        <v>239</v>
      </c>
      <c r="C4" s="20" t="s">
        <v>240</v>
      </c>
      <c r="D4" s="16"/>
      <c r="E4" s="21"/>
    </row>
    <row r="5">
      <c r="A5" s="11">
        <v>3.0</v>
      </c>
      <c r="B5" s="13" t="s">
        <v>241</v>
      </c>
      <c r="C5" s="13" t="s">
        <v>242</v>
      </c>
      <c r="D5" s="16"/>
      <c r="E5" s="17"/>
    </row>
    <row r="6">
      <c r="A6" s="19">
        <v>4.0</v>
      </c>
      <c r="B6" s="20" t="s">
        <v>243</v>
      </c>
      <c r="C6" s="20" t="s">
        <v>244</v>
      </c>
      <c r="D6" s="16"/>
      <c r="E6" s="21"/>
    </row>
    <row r="7">
      <c r="A7" s="11">
        <v>5.0</v>
      </c>
      <c r="B7" s="13" t="s">
        <v>247</v>
      </c>
      <c r="C7" s="13" t="s">
        <v>248</v>
      </c>
      <c r="D7" s="16"/>
      <c r="E7" s="17"/>
    </row>
    <row r="8">
      <c r="A8" s="19">
        <v>6.0</v>
      </c>
      <c r="B8" s="20" t="s">
        <v>249</v>
      </c>
      <c r="C8" s="20" t="s">
        <v>248</v>
      </c>
      <c r="D8" s="16"/>
      <c r="E8" s="21"/>
    </row>
    <row r="9">
      <c r="A9" s="11">
        <v>7.0</v>
      </c>
      <c r="B9" s="13" t="s">
        <v>251</v>
      </c>
      <c r="C9" s="13" t="s">
        <v>253</v>
      </c>
      <c r="D9" s="16"/>
      <c r="E9" s="17"/>
    </row>
    <row r="10">
      <c r="A10" s="19">
        <v>8.0</v>
      </c>
      <c r="B10" s="20" t="s">
        <v>254</v>
      </c>
      <c r="C10" s="20" t="s">
        <v>255</v>
      </c>
      <c r="D10" s="16"/>
      <c r="E10" s="21"/>
    </row>
    <row r="11" ht="18.75" customHeight="1">
      <c r="A11" s="7" t="s">
        <v>258</v>
      </c>
      <c r="B11" s="8"/>
      <c r="C11" s="8"/>
      <c r="D11" s="8"/>
      <c r="E11" s="10"/>
    </row>
    <row r="12">
      <c r="A12" s="11">
        <v>9.0</v>
      </c>
      <c r="B12" s="13" t="s">
        <v>259</v>
      </c>
      <c r="C12" s="13" t="s">
        <v>260</v>
      </c>
      <c r="D12" s="16"/>
      <c r="E12" s="17"/>
    </row>
    <row r="13">
      <c r="A13" s="19">
        <v>10.0</v>
      </c>
      <c r="B13" s="20" t="s">
        <v>262</v>
      </c>
      <c r="C13" s="20" t="s">
        <v>263</v>
      </c>
      <c r="D13" s="16"/>
      <c r="E13" s="21"/>
    </row>
    <row r="14">
      <c r="A14" s="11">
        <v>11.0</v>
      </c>
      <c r="B14" s="13" t="s">
        <v>264</v>
      </c>
      <c r="C14" s="13" t="s">
        <v>265</v>
      </c>
      <c r="D14" s="16"/>
      <c r="E14" s="17"/>
    </row>
    <row r="15" ht="18.75" customHeight="1">
      <c r="A15" s="7" t="s">
        <v>269</v>
      </c>
      <c r="B15" s="8"/>
      <c r="C15" s="8"/>
      <c r="D15" s="8"/>
      <c r="E15" s="10"/>
    </row>
    <row r="16">
      <c r="A16" s="19">
        <v>12.0</v>
      </c>
      <c r="B16" s="20" t="s">
        <v>270</v>
      </c>
      <c r="C16" s="20" t="s">
        <v>272</v>
      </c>
      <c r="D16" s="16"/>
      <c r="E16" s="21"/>
    </row>
    <row r="17">
      <c r="A17" s="11">
        <v>13.0</v>
      </c>
      <c r="B17" s="13" t="s">
        <v>273</v>
      </c>
      <c r="C17" s="13" t="s">
        <v>274</v>
      </c>
      <c r="D17" s="16"/>
      <c r="E17" s="17"/>
    </row>
    <row r="18">
      <c r="A18" s="19">
        <v>14.0</v>
      </c>
      <c r="B18" s="20" t="s">
        <v>276</v>
      </c>
      <c r="C18" s="20" t="s">
        <v>277</v>
      </c>
      <c r="D18" s="16"/>
      <c r="E18" s="21"/>
    </row>
    <row r="19" ht="18.75" customHeight="1">
      <c r="A19" s="7" t="s">
        <v>278</v>
      </c>
      <c r="B19" s="8"/>
      <c r="C19" s="8"/>
      <c r="D19" s="8"/>
      <c r="E19" s="10"/>
    </row>
    <row r="20">
      <c r="A20" s="11">
        <v>15.0</v>
      </c>
      <c r="B20" s="13" t="s">
        <v>280</v>
      </c>
      <c r="C20" s="13" t="s">
        <v>281</v>
      </c>
      <c r="D20" s="16"/>
      <c r="E20" s="17"/>
    </row>
    <row r="21" ht="15.75" customHeight="1">
      <c r="A21" s="19">
        <v>16.0</v>
      </c>
      <c r="B21" s="20" t="s">
        <v>283</v>
      </c>
      <c r="C21" s="20" t="s">
        <v>284</v>
      </c>
      <c r="D21" s="16"/>
      <c r="E21" s="2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E2"/>
    <mergeCell ref="A11:E11"/>
    <mergeCell ref="A15:E15"/>
    <mergeCell ref="A19:E19"/>
  </mergeCells>
  <conditionalFormatting sqref="D2:D21">
    <cfRule type="cellIs" dxfId="0" priority="1" operator="equal">
      <formula>"Pass"</formula>
    </cfRule>
  </conditionalFormatting>
  <conditionalFormatting sqref="D2:D21">
    <cfRule type="cellIs" dxfId="1" priority="2" operator="equal">
      <formula>"Fail"</formula>
    </cfRule>
  </conditionalFormatting>
  <conditionalFormatting sqref="D2:D21">
    <cfRule type="cellIs" dxfId="2" priority="3" operator="equal">
      <formula>"Blocked"</formula>
    </cfRule>
  </conditionalFormatting>
  <conditionalFormatting sqref="D2:D21">
    <cfRule type="cellIs" dxfId="3" priority="4" operator="equal">
      <formula>"N/A"</formula>
    </cfRule>
  </conditionalFormatting>
  <dataValidations>
    <dataValidation type="list" allowBlank="1" showInputMessage="1" showErrorMessage="1" prompt="Please choose Pass, Fail, Blocked or N/A." sqref="D3:D10 D12:D14 D16:D18 D20:D21">
      <formula1>"Pass,Fail,Blocked,N/A"</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301</v>
      </c>
      <c r="B2" s="8"/>
      <c r="C2" s="8"/>
      <c r="D2" s="8"/>
      <c r="E2" s="10"/>
    </row>
    <row r="3">
      <c r="A3" s="11">
        <v>1.0</v>
      </c>
      <c r="B3" s="13" t="s">
        <v>304</v>
      </c>
      <c r="C3" s="13" t="s">
        <v>306</v>
      </c>
      <c r="D3" s="16"/>
      <c r="E3" s="17"/>
    </row>
    <row r="4">
      <c r="A4" s="19">
        <v>2.0</v>
      </c>
      <c r="B4" s="20" t="s">
        <v>309</v>
      </c>
      <c r="C4" s="20" t="s">
        <v>311</v>
      </c>
      <c r="D4" s="16"/>
      <c r="E4" s="21"/>
    </row>
    <row r="5">
      <c r="A5" s="11">
        <v>3.0</v>
      </c>
      <c r="B5" s="13" t="s">
        <v>312</v>
      </c>
      <c r="C5" s="13" t="s">
        <v>314</v>
      </c>
      <c r="D5" s="16"/>
      <c r="E5" s="17"/>
    </row>
    <row r="6">
      <c r="A6" s="19">
        <v>4.0</v>
      </c>
      <c r="B6" s="20" t="s">
        <v>318</v>
      </c>
      <c r="C6" s="20" t="s">
        <v>321</v>
      </c>
      <c r="D6" s="16"/>
      <c r="E6" s="21"/>
    </row>
    <row r="7">
      <c r="A7" s="11">
        <v>5.0</v>
      </c>
      <c r="B7" s="13" t="s">
        <v>323</v>
      </c>
      <c r="C7" s="13" t="s">
        <v>325</v>
      </c>
      <c r="D7" s="16"/>
      <c r="E7" s="17"/>
    </row>
    <row r="8">
      <c r="A8" s="19">
        <v>6.0</v>
      </c>
      <c r="B8" s="20" t="s">
        <v>327</v>
      </c>
      <c r="C8" s="20" t="s">
        <v>329</v>
      </c>
      <c r="D8" s="16"/>
      <c r="E8" s="21"/>
    </row>
    <row r="9">
      <c r="A9" s="11">
        <v>7.0</v>
      </c>
      <c r="B9" s="13" t="s">
        <v>331</v>
      </c>
      <c r="C9" s="13" t="s">
        <v>333</v>
      </c>
      <c r="D9" s="16"/>
      <c r="E9" s="17"/>
    </row>
    <row r="10" ht="18.75" customHeight="1">
      <c r="A10" s="7" t="s">
        <v>335</v>
      </c>
      <c r="B10" s="8"/>
      <c r="C10" s="8"/>
      <c r="D10" s="8"/>
      <c r="E10" s="10"/>
    </row>
    <row r="11">
      <c r="A11" s="19">
        <v>8.0</v>
      </c>
      <c r="B11" s="20" t="s">
        <v>338</v>
      </c>
      <c r="C11" s="20" t="s">
        <v>339</v>
      </c>
      <c r="D11" s="16"/>
      <c r="E11" s="21"/>
    </row>
    <row r="12">
      <c r="A12" s="11">
        <v>9.0</v>
      </c>
      <c r="B12" s="13" t="s">
        <v>340</v>
      </c>
      <c r="C12" s="13" t="s">
        <v>341</v>
      </c>
      <c r="D12" s="16"/>
      <c r="E12" s="17"/>
    </row>
    <row r="13">
      <c r="A13" s="19">
        <v>10.0</v>
      </c>
      <c r="B13" s="20" t="s">
        <v>342</v>
      </c>
      <c r="C13" s="20" t="s">
        <v>343</v>
      </c>
      <c r="D13" s="16"/>
      <c r="E13" s="21"/>
    </row>
    <row r="14">
      <c r="A14" s="11">
        <v>11.0</v>
      </c>
      <c r="B14" s="13" t="s">
        <v>344</v>
      </c>
      <c r="C14" s="13" t="s">
        <v>345</v>
      </c>
      <c r="D14" s="16"/>
      <c r="E14" s="17"/>
    </row>
    <row r="15" ht="18.75" customHeight="1">
      <c r="A15" s="7" t="s">
        <v>346</v>
      </c>
      <c r="B15" s="8"/>
      <c r="C15" s="8"/>
      <c r="D15" s="8"/>
      <c r="E15" s="10"/>
    </row>
    <row r="16">
      <c r="A16" s="19">
        <v>12.0</v>
      </c>
      <c r="B16" s="20" t="s">
        <v>347</v>
      </c>
      <c r="C16" s="20" t="s">
        <v>348</v>
      </c>
      <c r="D16" s="16"/>
      <c r="E16" s="21"/>
    </row>
    <row r="17">
      <c r="A17" s="11">
        <v>13.0</v>
      </c>
      <c r="B17" s="13" t="s">
        <v>349</v>
      </c>
      <c r="C17" s="13" t="s">
        <v>350</v>
      </c>
      <c r="D17" s="16"/>
      <c r="E17" s="17"/>
    </row>
    <row r="18" ht="18.75" customHeight="1">
      <c r="A18" s="7" t="s">
        <v>351</v>
      </c>
      <c r="B18" s="8"/>
      <c r="C18" s="8"/>
      <c r="D18" s="8"/>
      <c r="E18" s="10"/>
    </row>
    <row r="19">
      <c r="A19" s="19">
        <v>14.0</v>
      </c>
      <c r="B19" s="20" t="s">
        <v>352</v>
      </c>
      <c r="C19" s="20" t="s">
        <v>353</v>
      </c>
      <c r="D19" s="16"/>
      <c r="E19" s="21"/>
    </row>
    <row r="20">
      <c r="A20" s="11">
        <v>15.0</v>
      </c>
      <c r="B20" s="13" t="s">
        <v>354</v>
      </c>
      <c r="C20" s="13" t="s">
        <v>355</v>
      </c>
      <c r="D20" s="16"/>
      <c r="E20" s="17"/>
    </row>
    <row r="21" ht="18.75" customHeight="1">
      <c r="A21" s="7" t="s">
        <v>356</v>
      </c>
      <c r="B21" s="8"/>
      <c r="C21" s="8"/>
      <c r="D21" s="8"/>
      <c r="E21" s="10"/>
    </row>
    <row r="22" ht="15.75" customHeight="1">
      <c r="A22" s="19">
        <v>16.0</v>
      </c>
      <c r="B22" s="20" t="s">
        <v>357</v>
      </c>
      <c r="C22" s="20" t="s">
        <v>358</v>
      </c>
      <c r="D22" s="16"/>
      <c r="E22" s="21"/>
    </row>
    <row r="23" ht="15.75" customHeight="1">
      <c r="A23" s="11">
        <v>17.0</v>
      </c>
      <c r="B23" s="13" t="s">
        <v>359</v>
      </c>
      <c r="C23" s="13" t="s">
        <v>360</v>
      </c>
      <c r="D23" s="16"/>
      <c r="E23" s="17"/>
    </row>
    <row r="24" ht="15.75" customHeight="1">
      <c r="A24" s="19">
        <v>18.0</v>
      </c>
      <c r="B24" s="20" t="s">
        <v>361</v>
      </c>
      <c r="C24" s="20" t="s">
        <v>362</v>
      </c>
      <c r="D24" s="16"/>
      <c r="E24" s="21"/>
    </row>
    <row r="25" ht="15.75" customHeight="1">
      <c r="A25" s="11">
        <v>19.0</v>
      </c>
      <c r="B25" s="13" t="s">
        <v>364</v>
      </c>
      <c r="C25" s="13" t="s">
        <v>367</v>
      </c>
      <c r="D25" s="16"/>
      <c r="E25" s="17"/>
    </row>
    <row r="26" ht="15.75" customHeight="1">
      <c r="A26" s="19">
        <v>20.0</v>
      </c>
      <c r="B26" s="20" t="s">
        <v>368</v>
      </c>
      <c r="C26" s="20" t="s">
        <v>371</v>
      </c>
      <c r="D26" s="16"/>
      <c r="E26" s="21"/>
    </row>
    <row r="27" ht="15.75" customHeight="1">
      <c r="A27" s="11">
        <v>21.0</v>
      </c>
      <c r="B27" s="13" t="s">
        <v>373</v>
      </c>
      <c r="C27" s="13" t="s">
        <v>375</v>
      </c>
      <c r="D27" s="16"/>
      <c r="E27" s="17"/>
    </row>
    <row r="28" ht="18.75" customHeight="1">
      <c r="A28" s="7" t="s">
        <v>377</v>
      </c>
      <c r="B28" s="8"/>
      <c r="C28" s="8"/>
      <c r="D28" s="8"/>
      <c r="E28" s="10"/>
    </row>
    <row r="29" ht="15.75" customHeight="1">
      <c r="A29" s="19">
        <v>22.0</v>
      </c>
      <c r="B29" s="20" t="s">
        <v>380</v>
      </c>
      <c r="C29" s="20" t="s">
        <v>381</v>
      </c>
      <c r="D29" s="16"/>
      <c r="E29" s="21"/>
    </row>
    <row r="30" ht="15.75" customHeight="1">
      <c r="A30" s="11">
        <v>23.0</v>
      </c>
      <c r="B30" s="13" t="s">
        <v>384</v>
      </c>
      <c r="C30" s="13" t="s">
        <v>385</v>
      </c>
      <c r="D30" s="16"/>
      <c r="E30" s="17"/>
    </row>
    <row r="31" ht="15.75" customHeight="1">
      <c r="A31" s="19">
        <v>24.0</v>
      </c>
      <c r="B31" s="20" t="s">
        <v>388</v>
      </c>
      <c r="C31" s="20" t="s">
        <v>390</v>
      </c>
      <c r="D31" s="16"/>
      <c r="E31" s="21"/>
    </row>
    <row r="32" ht="15.75" customHeight="1">
      <c r="A32" s="11">
        <v>25.0</v>
      </c>
      <c r="B32" s="13" t="s">
        <v>392</v>
      </c>
      <c r="C32" s="13" t="s">
        <v>394</v>
      </c>
      <c r="D32" s="16"/>
      <c r="E32" s="17"/>
    </row>
    <row r="33" ht="15.75" customHeight="1">
      <c r="A33" s="19">
        <v>26.0</v>
      </c>
      <c r="B33" s="20" t="s">
        <v>397</v>
      </c>
      <c r="C33" s="20" t="s">
        <v>399</v>
      </c>
      <c r="D33" s="16"/>
      <c r="E33" s="21"/>
    </row>
    <row r="34" ht="15.75" customHeight="1">
      <c r="A34" s="11">
        <v>27.0</v>
      </c>
      <c r="B34" s="13" t="s">
        <v>401</v>
      </c>
      <c r="C34" s="13" t="s">
        <v>403</v>
      </c>
      <c r="D34" s="16"/>
      <c r="E34" s="17"/>
    </row>
    <row r="35" ht="15.75" customHeight="1">
      <c r="A35" s="19">
        <v>28.0</v>
      </c>
      <c r="B35" s="20" t="s">
        <v>405</v>
      </c>
      <c r="C35" s="20" t="s">
        <v>407</v>
      </c>
      <c r="D35" s="16"/>
      <c r="E35" s="21"/>
    </row>
    <row r="36" ht="15.75" customHeight="1">
      <c r="A36" s="11">
        <v>29.0</v>
      </c>
      <c r="B36" s="13" t="s">
        <v>410</v>
      </c>
      <c r="C36" s="13" t="s">
        <v>411</v>
      </c>
      <c r="D36" s="16"/>
      <c r="E36" s="17"/>
    </row>
    <row r="37" ht="15.75" customHeight="1">
      <c r="A37" s="19">
        <v>30.0</v>
      </c>
      <c r="B37" s="20" t="s">
        <v>413</v>
      </c>
      <c r="C37" s="20" t="s">
        <v>414</v>
      </c>
      <c r="D37" s="16"/>
      <c r="E37" s="21"/>
    </row>
    <row r="38" ht="18.75" customHeight="1">
      <c r="A38" s="7" t="s">
        <v>416</v>
      </c>
      <c r="B38" s="8"/>
      <c r="C38" s="8"/>
      <c r="D38" s="8"/>
      <c r="E38" s="10"/>
    </row>
    <row r="39" ht="15.75" customHeight="1">
      <c r="A39" s="11">
        <v>31.0</v>
      </c>
      <c r="B39" s="13" t="s">
        <v>419</v>
      </c>
      <c r="C39" s="13" t="s">
        <v>421</v>
      </c>
      <c r="D39" s="16"/>
      <c r="E39" s="17"/>
    </row>
    <row r="40" ht="15.75" customHeight="1">
      <c r="A40" s="19">
        <v>32.0</v>
      </c>
      <c r="B40" s="20" t="s">
        <v>424</v>
      </c>
      <c r="C40" s="20" t="s">
        <v>425</v>
      </c>
      <c r="D40" s="16"/>
      <c r="E40" s="21"/>
    </row>
    <row r="41" ht="18.75" customHeight="1">
      <c r="A41" s="7" t="s">
        <v>427</v>
      </c>
      <c r="B41" s="8"/>
      <c r="C41" s="8"/>
      <c r="D41" s="8"/>
      <c r="E41" s="10"/>
    </row>
    <row r="42" ht="15.75" customHeight="1">
      <c r="A42" s="11">
        <v>33.0</v>
      </c>
      <c r="B42" s="13" t="s">
        <v>430</v>
      </c>
      <c r="C42" s="13" t="s">
        <v>431</v>
      </c>
      <c r="D42" s="16"/>
      <c r="E42" s="17"/>
    </row>
    <row r="43" ht="15.75" customHeight="1">
      <c r="A43" s="19">
        <v>34.0</v>
      </c>
      <c r="B43" s="20" t="s">
        <v>434</v>
      </c>
      <c r="C43" s="20" t="s">
        <v>435</v>
      </c>
      <c r="D43" s="16"/>
      <c r="E43" s="21"/>
    </row>
    <row r="44" ht="15.75" customHeight="1">
      <c r="A44" s="11">
        <v>35.0</v>
      </c>
      <c r="B44" s="13" t="s">
        <v>438</v>
      </c>
      <c r="C44" s="13" t="s">
        <v>439</v>
      </c>
      <c r="D44" s="16"/>
      <c r="E44" s="17"/>
    </row>
    <row r="45" ht="15.75" customHeight="1">
      <c r="A45" s="19">
        <v>36.0</v>
      </c>
      <c r="B45" s="20" t="s">
        <v>442</v>
      </c>
      <c r="C45" s="20" t="s">
        <v>443</v>
      </c>
      <c r="D45" s="16"/>
      <c r="E45" s="21"/>
    </row>
    <row r="46" ht="15.75" customHeight="1">
      <c r="A46" s="11">
        <v>37.0</v>
      </c>
      <c r="B46" s="13" t="s">
        <v>445</v>
      </c>
      <c r="C46" s="13" t="s">
        <v>446</v>
      </c>
      <c r="D46" s="16"/>
      <c r="E46" s="17"/>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E2"/>
    <mergeCell ref="A10:E10"/>
    <mergeCell ref="A15:E15"/>
    <mergeCell ref="A18:E18"/>
    <mergeCell ref="A21:E21"/>
    <mergeCell ref="A28:E28"/>
    <mergeCell ref="A38:E38"/>
    <mergeCell ref="A41:E41"/>
  </mergeCells>
  <conditionalFormatting sqref="D2:D46">
    <cfRule type="cellIs" dxfId="0" priority="1" operator="equal">
      <formula>"Pass"</formula>
    </cfRule>
  </conditionalFormatting>
  <conditionalFormatting sqref="D2:D46">
    <cfRule type="cellIs" dxfId="1" priority="2" operator="equal">
      <formula>"Fail"</formula>
    </cfRule>
  </conditionalFormatting>
  <conditionalFormatting sqref="D2:D46">
    <cfRule type="cellIs" dxfId="2" priority="3" operator="equal">
      <formula>"Blocked"</formula>
    </cfRule>
  </conditionalFormatting>
  <conditionalFormatting sqref="D2:D46">
    <cfRule type="cellIs" dxfId="3" priority="4" operator="equal">
      <formula>"N/A"</formula>
    </cfRule>
  </conditionalFormatting>
  <dataValidations>
    <dataValidation type="list" allowBlank="1" showInputMessage="1" showErrorMessage="1" prompt="Please choose Pass, Fail, Blocked or N/A." sqref="D3:D9 D11:D14 D16:D17 D19:D20 D22:D27 D29:D37 D39:D40 D42:D46">
      <formula1>"Pass,Fail,Blocked,N/A"</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363</v>
      </c>
      <c r="B2" s="8"/>
      <c r="C2" s="8"/>
      <c r="D2" s="8"/>
      <c r="E2" s="10"/>
    </row>
    <row r="3">
      <c r="A3" s="11">
        <v>1.0</v>
      </c>
      <c r="B3" s="13" t="s">
        <v>365</v>
      </c>
      <c r="C3" s="13" t="s">
        <v>366</v>
      </c>
      <c r="D3" s="16"/>
      <c r="E3" s="17"/>
    </row>
    <row r="4">
      <c r="A4" s="19">
        <v>2.0</v>
      </c>
      <c r="B4" s="20" t="s">
        <v>369</v>
      </c>
      <c r="C4" s="20" t="s">
        <v>370</v>
      </c>
      <c r="D4" s="16"/>
      <c r="E4" s="21"/>
    </row>
    <row r="5">
      <c r="A5" s="11">
        <v>3.0</v>
      </c>
      <c r="B5" s="13" t="s">
        <v>372</v>
      </c>
      <c r="C5" s="13" t="s">
        <v>374</v>
      </c>
      <c r="D5" s="16"/>
      <c r="E5" s="17"/>
    </row>
    <row r="6">
      <c r="A6" s="19">
        <v>4.0</v>
      </c>
      <c r="B6" s="20" t="s">
        <v>376</v>
      </c>
      <c r="C6" s="20" t="s">
        <v>378</v>
      </c>
      <c r="D6" s="16"/>
      <c r="E6" s="21"/>
    </row>
    <row r="7" ht="18.75" customHeight="1">
      <c r="A7" s="7" t="s">
        <v>379</v>
      </c>
      <c r="B7" s="8"/>
      <c r="C7" s="8"/>
      <c r="D7" s="8"/>
      <c r="E7" s="10"/>
    </row>
    <row r="8">
      <c r="A8" s="11">
        <v>5.0</v>
      </c>
      <c r="B8" s="13" t="s">
        <v>382</v>
      </c>
      <c r="C8" s="13" t="s">
        <v>383</v>
      </c>
      <c r="D8" s="16"/>
      <c r="E8" s="17"/>
    </row>
    <row r="9">
      <c r="A9" s="19">
        <v>6.0</v>
      </c>
      <c r="B9" s="20" t="s">
        <v>386</v>
      </c>
      <c r="C9" s="20" t="s">
        <v>387</v>
      </c>
      <c r="D9" s="16"/>
      <c r="E9" s="21"/>
    </row>
    <row r="10">
      <c r="A10" s="11">
        <v>7.0</v>
      </c>
      <c r="B10" s="13" t="s">
        <v>389</v>
      </c>
      <c r="C10" s="13" t="s">
        <v>391</v>
      </c>
      <c r="D10" s="16"/>
      <c r="E10" s="17"/>
    </row>
    <row r="11">
      <c r="A11" s="19">
        <v>8.0</v>
      </c>
      <c r="B11" s="20" t="s">
        <v>393</v>
      </c>
      <c r="C11" s="20" t="s">
        <v>395</v>
      </c>
      <c r="D11" s="16"/>
      <c r="E11" s="21"/>
    </row>
    <row r="12">
      <c r="A12" s="11">
        <v>9.0</v>
      </c>
      <c r="B12" s="13" t="s">
        <v>396</v>
      </c>
      <c r="C12" s="13" t="s">
        <v>398</v>
      </c>
      <c r="D12" s="16"/>
      <c r="E12" s="17"/>
    </row>
    <row r="13">
      <c r="A13" s="19">
        <v>10.0</v>
      </c>
      <c r="B13" s="20" t="s">
        <v>400</v>
      </c>
      <c r="C13" s="20" t="s">
        <v>402</v>
      </c>
      <c r="D13" s="16"/>
      <c r="E13" s="21"/>
    </row>
    <row r="14">
      <c r="A14" s="11">
        <v>11.0</v>
      </c>
      <c r="B14" s="13" t="s">
        <v>404</v>
      </c>
      <c r="C14" s="13" t="s">
        <v>406</v>
      </c>
      <c r="D14" s="16"/>
      <c r="E14" s="17"/>
    </row>
    <row r="15">
      <c r="A15" s="19">
        <v>12.0</v>
      </c>
      <c r="B15" s="20" t="s">
        <v>408</v>
      </c>
      <c r="C15" s="20" t="s">
        <v>409</v>
      </c>
      <c r="D15" s="16"/>
      <c r="E15" s="21"/>
    </row>
    <row r="16" ht="18.75" customHeight="1">
      <c r="A16" s="7" t="s">
        <v>412</v>
      </c>
      <c r="B16" s="8"/>
      <c r="C16" s="8"/>
      <c r="D16" s="8"/>
      <c r="E16" s="10"/>
    </row>
    <row r="17">
      <c r="A17" s="11">
        <v>13.0</v>
      </c>
      <c r="B17" s="13" t="s">
        <v>415</v>
      </c>
      <c r="C17" s="13" t="s">
        <v>417</v>
      </c>
      <c r="D17" s="16"/>
      <c r="E17" s="17"/>
    </row>
    <row r="18">
      <c r="A18" s="19">
        <v>14.0</v>
      </c>
      <c r="B18" s="20" t="s">
        <v>418</v>
      </c>
      <c r="C18" s="20" t="s">
        <v>420</v>
      </c>
      <c r="D18" s="16"/>
      <c r="E18" s="21"/>
    </row>
    <row r="19">
      <c r="A19" s="11">
        <v>15.0</v>
      </c>
      <c r="B19" s="13" t="s">
        <v>422</v>
      </c>
      <c r="C19" s="13" t="s">
        <v>423</v>
      </c>
      <c r="D19" s="16"/>
      <c r="E19" s="17"/>
    </row>
    <row r="20" ht="18.75" customHeight="1">
      <c r="A20" s="7" t="s">
        <v>426</v>
      </c>
      <c r="B20" s="8"/>
      <c r="C20" s="8"/>
      <c r="D20" s="8"/>
      <c r="E20" s="10"/>
    </row>
    <row r="21" ht="15.75" customHeight="1">
      <c r="A21" s="19">
        <v>16.0</v>
      </c>
      <c r="B21" s="20" t="s">
        <v>428</v>
      </c>
      <c r="C21" s="20" t="s">
        <v>429</v>
      </c>
      <c r="D21" s="16"/>
      <c r="E21" s="21"/>
    </row>
    <row r="22" ht="15.75" customHeight="1">
      <c r="A22" s="11">
        <v>17.0</v>
      </c>
      <c r="B22" s="13" t="s">
        <v>432</v>
      </c>
      <c r="C22" s="13" t="s">
        <v>433</v>
      </c>
      <c r="D22" s="16"/>
      <c r="E22" s="17"/>
    </row>
    <row r="23" ht="15.75" customHeight="1">
      <c r="A23" s="19">
        <v>18.0</v>
      </c>
      <c r="B23" s="20" t="s">
        <v>436</v>
      </c>
      <c r="C23" s="20" t="s">
        <v>437</v>
      </c>
      <c r="D23" s="16"/>
      <c r="E23" s="21"/>
    </row>
    <row r="24" ht="15.75" customHeight="1">
      <c r="A24" s="11">
        <v>19.0</v>
      </c>
      <c r="B24" s="13" t="s">
        <v>440</v>
      </c>
      <c r="C24" s="13" t="s">
        <v>441</v>
      </c>
      <c r="D24" s="16"/>
      <c r="E24" s="17"/>
    </row>
    <row r="25" ht="18.75" customHeight="1">
      <c r="A25" s="7" t="s">
        <v>444</v>
      </c>
      <c r="B25" s="8"/>
      <c r="C25" s="8"/>
      <c r="D25" s="8"/>
      <c r="E25" s="10"/>
    </row>
    <row r="26" ht="15.75" customHeight="1">
      <c r="A26" s="19">
        <v>20.0</v>
      </c>
      <c r="B26" s="20" t="s">
        <v>447</v>
      </c>
      <c r="C26" s="20" t="s">
        <v>448</v>
      </c>
      <c r="D26" s="16"/>
      <c r="E26" s="21"/>
    </row>
    <row r="27" ht="15.75" customHeight="1">
      <c r="A27" s="11">
        <v>21.0</v>
      </c>
      <c r="B27" s="13" t="s">
        <v>449</v>
      </c>
      <c r="C27" s="13" t="s">
        <v>450</v>
      </c>
      <c r="D27" s="16"/>
      <c r="E27" s="17"/>
    </row>
    <row r="28" ht="15.75" customHeight="1">
      <c r="A28" s="19">
        <v>22.0</v>
      </c>
      <c r="B28" s="20" t="s">
        <v>451</v>
      </c>
      <c r="C28" s="20" t="s">
        <v>452</v>
      </c>
      <c r="D28" s="16"/>
      <c r="E28" s="21"/>
    </row>
    <row r="29" ht="15.75" customHeight="1">
      <c r="A29" s="11">
        <v>23.0</v>
      </c>
      <c r="B29" s="13" t="s">
        <v>453</v>
      </c>
      <c r="C29" s="13" t="s">
        <v>454</v>
      </c>
      <c r="D29" s="16"/>
      <c r="E29" s="17"/>
    </row>
    <row r="30" ht="15.75" customHeight="1">
      <c r="A30" s="19">
        <v>24.0</v>
      </c>
      <c r="B30" s="20" t="s">
        <v>455</v>
      </c>
      <c r="C30" s="20" t="s">
        <v>456</v>
      </c>
      <c r="D30" s="16"/>
      <c r="E30" s="21"/>
    </row>
    <row r="31" ht="15.75" customHeight="1">
      <c r="A31" s="11">
        <v>25.0</v>
      </c>
      <c r="B31" s="13" t="s">
        <v>457</v>
      </c>
      <c r="C31" s="13" t="s">
        <v>458</v>
      </c>
      <c r="D31" s="16"/>
      <c r="E31" s="17"/>
    </row>
    <row r="32" ht="15.75" customHeight="1">
      <c r="A32" s="19">
        <v>26.0</v>
      </c>
      <c r="B32" s="20" t="s">
        <v>460</v>
      </c>
      <c r="C32" s="20" t="s">
        <v>462</v>
      </c>
      <c r="D32" s="16"/>
      <c r="E32" s="21"/>
    </row>
    <row r="33" ht="18.75" customHeight="1">
      <c r="A33" s="7" t="s">
        <v>464</v>
      </c>
      <c r="B33" s="8"/>
      <c r="C33" s="8"/>
      <c r="D33" s="8"/>
      <c r="E33" s="10"/>
    </row>
    <row r="34" ht="15.75" customHeight="1">
      <c r="A34" s="11">
        <v>27.0</v>
      </c>
      <c r="B34" s="13" t="s">
        <v>467</v>
      </c>
      <c r="C34" s="13" t="s">
        <v>468</v>
      </c>
      <c r="D34" s="16"/>
      <c r="E34" s="17"/>
    </row>
    <row r="35" ht="15.75" customHeight="1">
      <c r="A35" s="19">
        <v>28.0</v>
      </c>
      <c r="B35" s="20" t="s">
        <v>471</v>
      </c>
      <c r="C35" s="20" t="s">
        <v>473</v>
      </c>
      <c r="D35" s="16"/>
      <c r="E35" s="21"/>
    </row>
    <row r="36" ht="15.75" customHeight="1">
      <c r="A36" s="11">
        <v>29.0</v>
      </c>
      <c r="B36" s="13" t="s">
        <v>475</v>
      </c>
      <c r="C36" s="13" t="s">
        <v>477</v>
      </c>
      <c r="D36" s="16"/>
      <c r="E36" s="17"/>
    </row>
    <row r="37" ht="15.75" customHeight="1">
      <c r="A37" s="19">
        <v>30.0</v>
      </c>
      <c r="B37" s="20" t="s">
        <v>480</v>
      </c>
      <c r="C37" s="20" t="s">
        <v>481</v>
      </c>
      <c r="D37" s="16"/>
      <c r="E37" s="21"/>
    </row>
    <row r="38" ht="15.75" customHeight="1">
      <c r="A38" s="11">
        <v>31.0</v>
      </c>
      <c r="B38" s="13" t="s">
        <v>485</v>
      </c>
      <c r="C38" s="13" t="s">
        <v>487</v>
      </c>
      <c r="D38" s="16"/>
      <c r="E38" s="17"/>
    </row>
    <row r="39" ht="15.75" customHeight="1">
      <c r="A39" s="19">
        <v>32.0</v>
      </c>
      <c r="B39" s="20" t="s">
        <v>490</v>
      </c>
      <c r="C39" s="20" t="s">
        <v>491</v>
      </c>
      <c r="D39" s="16"/>
      <c r="E39" s="21"/>
    </row>
    <row r="40" ht="15.75" customHeight="1">
      <c r="A40" s="11">
        <v>33.0</v>
      </c>
      <c r="B40" s="13" t="s">
        <v>495</v>
      </c>
      <c r="C40" s="13" t="s">
        <v>496</v>
      </c>
      <c r="D40" s="16"/>
      <c r="E40" s="17"/>
    </row>
    <row r="41" ht="18.75" customHeight="1">
      <c r="A41" s="7" t="s">
        <v>499</v>
      </c>
      <c r="B41" s="8"/>
      <c r="C41" s="8"/>
      <c r="D41" s="8"/>
      <c r="E41" s="10"/>
    </row>
    <row r="42" ht="15.75" customHeight="1">
      <c r="A42" s="19">
        <v>34.0</v>
      </c>
      <c r="B42" s="20" t="s">
        <v>502</v>
      </c>
      <c r="C42" s="20" t="s">
        <v>503</v>
      </c>
      <c r="D42" s="16"/>
      <c r="E42" s="21"/>
    </row>
    <row r="43" ht="15.75" customHeight="1">
      <c r="A43" s="11">
        <v>35.0</v>
      </c>
      <c r="B43" s="13" t="s">
        <v>506</v>
      </c>
      <c r="C43" s="13" t="s">
        <v>507</v>
      </c>
      <c r="D43" s="16"/>
      <c r="E43" s="17"/>
    </row>
    <row r="44" ht="15.75" customHeight="1">
      <c r="A44" s="19">
        <v>36.0</v>
      </c>
      <c r="B44" s="20" t="s">
        <v>511</v>
      </c>
      <c r="C44" s="20" t="s">
        <v>512</v>
      </c>
      <c r="D44" s="16"/>
      <c r="E44" s="21"/>
    </row>
    <row r="45" ht="15.75" customHeight="1">
      <c r="A45" s="11">
        <v>37.0</v>
      </c>
      <c r="B45" s="13" t="s">
        <v>515</v>
      </c>
      <c r="C45" s="13" t="s">
        <v>516</v>
      </c>
      <c r="D45" s="16"/>
      <c r="E45" s="17"/>
    </row>
    <row r="46" ht="15.75" customHeight="1">
      <c r="A46" s="19">
        <v>38.0</v>
      </c>
      <c r="B46" s="20" t="s">
        <v>520</v>
      </c>
      <c r="C46" s="20" t="s">
        <v>522</v>
      </c>
      <c r="D46" s="16"/>
      <c r="E46" s="21"/>
    </row>
    <row r="47" ht="18.75" customHeight="1">
      <c r="A47" s="7" t="s">
        <v>524</v>
      </c>
      <c r="B47" s="8"/>
      <c r="C47" s="8"/>
      <c r="D47" s="8"/>
      <c r="E47" s="10"/>
    </row>
    <row r="48" ht="24.0" customHeight="1">
      <c r="A48" s="11">
        <v>39.0</v>
      </c>
      <c r="B48" s="13" t="s">
        <v>526</v>
      </c>
      <c r="C48" s="13" t="s">
        <v>528</v>
      </c>
      <c r="D48" s="16"/>
      <c r="E48" s="17"/>
    </row>
    <row r="49" ht="22.5" customHeight="1">
      <c r="A49" s="19">
        <v>40.0</v>
      </c>
      <c r="B49" s="20" t="s">
        <v>530</v>
      </c>
      <c r="C49" s="20" t="s">
        <v>532</v>
      </c>
      <c r="D49" s="16"/>
      <c r="E49" s="21"/>
    </row>
    <row r="50" ht="22.5" customHeight="1">
      <c r="A50" s="11">
        <v>41.0</v>
      </c>
      <c r="B50" s="13" t="s">
        <v>535</v>
      </c>
      <c r="C50" s="13" t="s">
        <v>536</v>
      </c>
      <c r="D50" s="16"/>
      <c r="E50" s="17"/>
    </row>
    <row r="51" ht="18.75" customHeight="1">
      <c r="A51" s="7" t="s">
        <v>539</v>
      </c>
      <c r="B51" s="8"/>
      <c r="C51" s="8"/>
      <c r="D51" s="8"/>
      <c r="E51" s="10"/>
    </row>
    <row r="52" ht="15.75" customHeight="1">
      <c r="A52" s="19">
        <v>42.0</v>
      </c>
      <c r="B52" s="20" t="s">
        <v>545</v>
      </c>
      <c r="C52" s="20" t="s">
        <v>546</v>
      </c>
      <c r="D52" s="16"/>
      <c r="E52" s="21"/>
    </row>
    <row r="53" ht="15.75" customHeight="1">
      <c r="A53" s="11">
        <v>43.0</v>
      </c>
      <c r="B53" s="13" t="s">
        <v>551</v>
      </c>
      <c r="C53" s="13" t="s">
        <v>552</v>
      </c>
      <c r="D53" s="16"/>
      <c r="E53" s="17"/>
    </row>
    <row r="54" ht="15.75" customHeight="1">
      <c r="A54" s="19">
        <v>44.0</v>
      </c>
      <c r="B54" s="20" t="s">
        <v>555</v>
      </c>
      <c r="C54" s="20" t="s">
        <v>556</v>
      </c>
      <c r="D54" s="16"/>
      <c r="E54" s="21"/>
    </row>
    <row r="55" ht="15.75" customHeight="1">
      <c r="A55" s="11">
        <v>45.0</v>
      </c>
      <c r="B55" s="13" t="s">
        <v>561</v>
      </c>
      <c r="C55" s="13" t="s">
        <v>562</v>
      </c>
      <c r="D55" s="16"/>
      <c r="E55" s="17"/>
    </row>
    <row r="56" ht="15.75" customHeight="1">
      <c r="A56" s="19">
        <v>46.0</v>
      </c>
      <c r="B56" s="20" t="s">
        <v>564</v>
      </c>
      <c r="C56" s="20" t="s">
        <v>566</v>
      </c>
      <c r="D56" s="16"/>
      <c r="E56" s="21"/>
    </row>
    <row r="57" ht="15.75" customHeight="1">
      <c r="A57" s="11">
        <v>47.0</v>
      </c>
      <c r="B57" s="13" t="s">
        <v>569</v>
      </c>
      <c r="C57" s="13" t="s">
        <v>570</v>
      </c>
      <c r="D57" s="16"/>
      <c r="E57" s="17"/>
    </row>
    <row r="58" ht="15.75" customHeight="1">
      <c r="A58" s="19">
        <v>48.0</v>
      </c>
      <c r="B58" s="20" t="s">
        <v>574</v>
      </c>
      <c r="C58" s="20" t="s">
        <v>575</v>
      </c>
      <c r="D58" s="16"/>
      <c r="E58" s="21"/>
    </row>
    <row r="59" ht="21.0" customHeight="1">
      <c r="A59" s="7" t="s">
        <v>578</v>
      </c>
      <c r="B59" s="8"/>
      <c r="C59" s="8"/>
      <c r="D59" s="8"/>
      <c r="E59" s="10"/>
    </row>
    <row r="60" ht="27.0" customHeight="1">
      <c r="A60" s="11">
        <v>49.0</v>
      </c>
      <c r="B60" s="13" t="s">
        <v>582</v>
      </c>
      <c r="C60" s="13" t="s">
        <v>583</v>
      </c>
      <c r="D60" s="16"/>
      <c r="E60" s="17"/>
    </row>
    <row r="61" ht="15.75" customHeight="1">
      <c r="A61" s="19">
        <v>50.0</v>
      </c>
      <c r="B61" s="20" t="s">
        <v>586</v>
      </c>
      <c r="C61" s="20" t="s">
        <v>589</v>
      </c>
      <c r="D61" s="16"/>
      <c r="E61" s="21"/>
    </row>
    <row r="62" ht="15.75" customHeight="1">
      <c r="A62" s="11">
        <v>51.0</v>
      </c>
      <c r="B62" s="13" t="s">
        <v>591</v>
      </c>
      <c r="C62" s="13" t="s">
        <v>592</v>
      </c>
      <c r="D62" s="16"/>
      <c r="E62" s="17"/>
    </row>
    <row r="63" ht="15.75" customHeight="1">
      <c r="A63" s="19">
        <v>52.0</v>
      </c>
      <c r="B63" s="20" t="s">
        <v>598</v>
      </c>
      <c r="C63" s="20" t="s">
        <v>599</v>
      </c>
      <c r="D63" s="16"/>
      <c r="E63" s="21"/>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47:E47"/>
    <mergeCell ref="A51:E51"/>
    <mergeCell ref="A59:E59"/>
    <mergeCell ref="A2:E2"/>
    <mergeCell ref="A7:E7"/>
    <mergeCell ref="A16:E16"/>
    <mergeCell ref="A20:E20"/>
    <mergeCell ref="A25:E25"/>
    <mergeCell ref="A33:E33"/>
    <mergeCell ref="A41:E41"/>
  </mergeCells>
  <conditionalFormatting sqref="D2:D63">
    <cfRule type="cellIs" dxfId="0" priority="1" operator="equal">
      <formula>"Pass"</formula>
    </cfRule>
  </conditionalFormatting>
  <conditionalFormatting sqref="D2:D63">
    <cfRule type="cellIs" dxfId="1" priority="2" operator="equal">
      <formula>"Fail"</formula>
    </cfRule>
  </conditionalFormatting>
  <conditionalFormatting sqref="D2:D63">
    <cfRule type="cellIs" dxfId="2" priority="3" operator="equal">
      <formula>"Blocked"</formula>
    </cfRule>
  </conditionalFormatting>
  <conditionalFormatting sqref="D2:D63">
    <cfRule type="cellIs" dxfId="3" priority="4" operator="equal">
      <formula>"N/A"</formula>
    </cfRule>
  </conditionalFormatting>
  <dataValidations>
    <dataValidation type="list" allowBlank="1" showInputMessage="1" showErrorMessage="1" prompt="Please choose Pass, Fail, Blocked or N/A." sqref="D3:D6 D8:D15 D17:D19 D21:D24 D26:D32 D34:D40 D42:D46 D48:D50 D52:D58 D60:D63">
      <formula1>"Pass,Fail,Blocked,N/A"</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459</v>
      </c>
      <c r="B2" s="8"/>
      <c r="C2" s="8"/>
      <c r="D2" s="8"/>
      <c r="E2" s="10"/>
    </row>
    <row r="3">
      <c r="A3" s="11">
        <v>1.0</v>
      </c>
      <c r="B3" s="13" t="s">
        <v>461</v>
      </c>
      <c r="C3" s="13" t="s">
        <v>463</v>
      </c>
      <c r="D3" s="16"/>
      <c r="E3" s="17"/>
    </row>
    <row r="4">
      <c r="A4" s="19">
        <v>2.0</v>
      </c>
      <c r="B4" s="20" t="s">
        <v>465</v>
      </c>
      <c r="C4" s="20" t="s">
        <v>466</v>
      </c>
      <c r="D4" s="16"/>
      <c r="E4" s="21"/>
    </row>
    <row r="5">
      <c r="A5" s="11">
        <v>3.0</v>
      </c>
      <c r="B5" s="13" t="s">
        <v>469</v>
      </c>
      <c r="C5" s="13" t="s">
        <v>470</v>
      </c>
      <c r="D5" s="16"/>
      <c r="E5" s="17"/>
    </row>
    <row r="6">
      <c r="A6" s="19">
        <v>4.0</v>
      </c>
      <c r="B6" s="20" t="s">
        <v>472</v>
      </c>
      <c r="C6" s="20" t="s">
        <v>470</v>
      </c>
      <c r="D6" s="16"/>
      <c r="E6" s="21"/>
    </row>
    <row r="7">
      <c r="A7" s="11">
        <v>5.0</v>
      </c>
      <c r="B7" s="13" t="s">
        <v>474</v>
      </c>
      <c r="C7" s="13" t="s">
        <v>476</v>
      </c>
      <c r="D7" s="16"/>
      <c r="E7" s="17"/>
    </row>
    <row r="8">
      <c r="A8" s="19">
        <v>6.0</v>
      </c>
      <c r="B8" s="20" t="s">
        <v>478</v>
      </c>
      <c r="C8" s="20" t="s">
        <v>479</v>
      </c>
      <c r="D8" s="16"/>
      <c r="E8" s="21"/>
    </row>
    <row r="9">
      <c r="A9" s="11">
        <v>7.0</v>
      </c>
      <c r="B9" s="13" t="s">
        <v>482</v>
      </c>
      <c r="C9" s="13" t="s">
        <v>483</v>
      </c>
      <c r="D9" s="16"/>
      <c r="E9" s="17"/>
    </row>
    <row r="10">
      <c r="A10" s="19">
        <v>8.0</v>
      </c>
      <c r="B10" s="20" t="s">
        <v>484</v>
      </c>
      <c r="C10" s="20" t="s">
        <v>486</v>
      </c>
      <c r="D10" s="16"/>
      <c r="E10" s="21"/>
    </row>
    <row r="11">
      <c r="A11" s="11">
        <v>9.0</v>
      </c>
      <c r="B11" s="13" t="s">
        <v>488</v>
      </c>
      <c r="C11" s="13" t="s">
        <v>489</v>
      </c>
      <c r="D11" s="16"/>
      <c r="E11" s="17"/>
    </row>
    <row r="12">
      <c r="A12" s="19">
        <v>10.0</v>
      </c>
      <c r="B12" s="20" t="s">
        <v>492</v>
      </c>
      <c r="C12" s="20" t="s">
        <v>493</v>
      </c>
      <c r="D12" s="16"/>
      <c r="E12" s="21"/>
    </row>
    <row r="13" ht="18.75" customHeight="1">
      <c r="A13" s="7" t="s">
        <v>494</v>
      </c>
      <c r="B13" s="8"/>
      <c r="C13" s="8"/>
      <c r="D13" s="8"/>
      <c r="E13" s="10"/>
    </row>
    <row r="14">
      <c r="A14" s="11">
        <v>11.0</v>
      </c>
      <c r="B14" s="13" t="s">
        <v>497</v>
      </c>
      <c r="C14" s="13" t="s">
        <v>498</v>
      </c>
      <c r="D14" s="16"/>
      <c r="E14" s="17"/>
    </row>
    <row r="15">
      <c r="A15" s="19">
        <v>12.0</v>
      </c>
      <c r="B15" s="20" t="s">
        <v>500</v>
      </c>
      <c r="C15" s="20" t="s">
        <v>501</v>
      </c>
      <c r="D15" s="16"/>
      <c r="E15" s="21"/>
    </row>
    <row r="16">
      <c r="A16" s="11">
        <v>13.0</v>
      </c>
      <c r="B16" s="13" t="s">
        <v>504</v>
      </c>
      <c r="C16" s="13" t="s">
        <v>505</v>
      </c>
      <c r="D16" s="16"/>
      <c r="E16" s="17"/>
    </row>
    <row r="17">
      <c r="A17" s="19">
        <v>14.0</v>
      </c>
      <c r="B17" s="20" t="s">
        <v>508</v>
      </c>
      <c r="C17" s="20" t="s">
        <v>509</v>
      </c>
      <c r="D17" s="16"/>
      <c r="E17" s="21"/>
    </row>
    <row r="18" ht="18.75" customHeight="1">
      <c r="A18" s="7" t="s">
        <v>510</v>
      </c>
      <c r="B18" s="8"/>
      <c r="C18" s="8"/>
      <c r="D18" s="8"/>
      <c r="E18" s="10"/>
    </row>
    <row r="19">
      <c r="A19" s="11">
        <v>15.0</v>
      </c>
      <c r="B19" s="13" t="s">
        <v>513</v>
      </c>
      <c r="C19" s="13" t="s">
        <v>514</v>
      </c>
      <c r="D19" s="16"/>
      <c r="E19" s="17"/>
    </row>
    <row r="20">
      <c r="A20" s="19">
        <v>16.0</v>
      </c>
      <c r="B20" s="20" t="s">
        <v>517</v>
      </c>
      <c r="C20" s="20" t="s">
        <v>518</v>
      </c>
      <c r="D20" s="16"/>
      <c r="E20" s="21"/>
    </row>
    <row r="21" ht="15.75" customHeight="1">
      <c r="A21" s="11">
        <v>17.0</v>
      </c>
      <c r="B21" s="13" t="s">
        <v>519</v>
      </c>
      <c r="C21" s="13" t="s">
        <v>521</v>
      </c>
      <c r="D21" s="16"/>
      <c r="E21" s="17"/>
    </row>
    <row r="22" ht="15.75" customHeight="1">
      <c r="A22" s="19">
        <v>18.0</v>
      </c>
      <c r="B22" s="20" t="s">
        <v>523</v>
      </c>
      <c r="C22" s="20" t="s">
        <v>525</v>
      </c>
      <c r="D22" s="16"/>
      <c r="E22" s="21"/>
    </row>
    <row r="23" ht="15.75" customHeight="1">
      <c r="A23" s="11">
        <v>19.0</v>
      </c>
      <c r="B23" s="13" t="s">
        <v>527</v>
      </c>
      <c r="C23" s="13" t="s">
        <v>529</v>
      </c>
      <c r="D23" s="16"/>
      <c r="E23" s="17"/>
    </row>
    <row r="24" ht="15.75" customHeight="1">
      <c r="A24" s="19">
        <v>20.0</v>
      </c>
      <c r="B24" s="20" t="s">
        <v>531</v>
      </c>
      <c r="C24" s="20" t="s">
        <v>533</v>
      </c>
      <c r="D24" s="16"/>
      <c r="E24" s="21"/>
    </row>
    <row r="25" ht="15.75" customHeight="1">
      <c r="A25" s="11">
        <v>21.0</v>
      </c>
      <c r="B25" s="13" t="s">
        <v>537</v>
      </c>
      <c r="C25" s="13" t="s">
        <v>538</v>
      </c>
      <c r="D25" s="16"/>
      <c r="E25" s="17"/>
    </row>
    <row r="26" ht="15.75" customHeight="1">
      <c r="A26" s="19">
        <v>22.0</v>
      </c>
      <c r="B26" s="20" t="s">
        <v>541</v>
      </c>
      <c r="C26" s="20" t="s">
        <v>542</v>
      </c>
      <c r="D26" s="16"/>
      <c r="E26" s="21"/>
    </row>
    <row r="27" ht="18.75" customHeight="1">
      <c r="A27" s="7" t="s">
        <v>544</v>
      </c>
      <c r="B27" s="8"/>
      <c r="C27" s="8"/>
      <c r="D27" s="8"/>
      <c r="E27" s="10"/>
    </row>
    <row r="28" ht="15.75" customHeight="1">
      <c r="A28" s="11">
        <v>23.0</v>
      </c>
      <c r="B28" s="13" t="s">
        <v>547</v>
      </c>
      <c r="C28" s="13" t="s">
        <v>549</v>
      </c>
      <c r="D28" s="16"/>
      <c r="E28" s="17"/>
    </row>
    <row r="29" ht="15.75" customHeight="1">
      <c r="A29" s="19">
        <v>24.0</v>
      </c>
      <c r="B29" s="20" t="s">
        <v>553</v>
      </c>
      <c r="C29" s="20" t="s">
        <v>554</v>
      </c>
      <c r="D29" s="16"/>
      <c r="E29" s="21"/>
    </row>
    <row r="30" ht="15.75" customHeight="1">
      <c r="A30" s="11">
        <v>25.0</v>
      </c>
      <c r="B30" s="13" t="s">
        <v>558</v>
      </c>
      <c r="C30" s="13" t="s">
        <v>560</v>
      </c>
      <c r="D30" s="16"/>
      <c r="E30" s="17"/>
    </row>
    <row r="31" ht="15.75" customHeight="1">
      <c r="A31" s="19">
        <v>26.0</v>
      </c>
      <c r="B31" s="20" t="s">
        <v>565</v>
      </c>
      <c r="C31" s="20" t="s">
        <v>567</v>
      </c>
      <c r="D31" s="16"/>
      <c r="E31" s="21"/>
    </row>
    <row r="32" ht="15.75" customHeight="1">
      <c r="A32" s="11">
        <v>27.0</v>
      </c>
      <c r="B32" s="13" t="s">
        <v>572</v>
      </c>
      <c r="C32" s="13" t="s">
        <v>573</v>
      </c>
      <c r="D32" s="16"/>
      <c r="E32" s="17"/>
    </row>
    <row r="33" ht="15.75" customHeight="1">
      <c r="A33" s="19">
        <v>28.0</v>
      </c>
      <c r="B33" s="20" t="s">
        <v>576</v>
      </c>
      <c r="C33" s="20" t="s">
        <v>579</v>
      </c>
      <c r="D33" s="16"/>
      <c r="E33" s="21"/>
    </row>
    <row r="34" ht="18.75" customHeight="1">
      <c r="A34" s="7" t="s">
        <v>581</v>
      </c>
      <c r="B34" s="8"/>
      <c r="C34" s="8"/>
      <c r="D34" s="8"/>
      <c r="E34" s="10"/>
    </row>
    <row r="35" ht="15.75" customHeight="1">
      <c r="A35" s="11">
        <v>29.0</v>
      </c>
      <c r="B35" s="13" t="s">
        <v>585</v>
      </c>
      <c r="C35" s="13" t="s">
        <v>587</v>
      </c>
      <c r="D35" s="16"/>
      <c r="E35" s="17"/>
    </row>
    <row r="36" ht="15.75" customHeight="1">
      <c r="A36" s="19">
        <v>30.0</v>
      </c>
      <c r="B36" s="20" t="s">
        <v>590</v>
      </c>
      <c r="C36" s="20" t="s">
        <v>593</v>
      </c>
      <c r="D36" s="16"/>
      <c r="E36" s="21"/>
    </row>
    <row r="37" ht="15.75" customHeight="1">
      <c r="A37" s="11">
        <v>31.0</v>
      </c>
      <c r="B37" s="13" t="s">
        <v>596</v>
      </c>
      <c r="C37" s="13" t="s">
        <v>597</v>
      </c>
      <c r="D37" s="16"/>
      <c r="E37" s="17"/>
    </row>
    <row r="38" ht="15.75" customHeight="1">
      <c r="A38" s="19">
        <v>32.0</v>
      </c>
      <c r="B38" s="20" t="s">
        <v>600</v>
      </c>
      <c r="C38" s="20" t="s">
        <v>601</v>
      </c>
      <c r="D38" s="16"/>
      <c r="E38" s="21"/>
    </row>
    <row r="39" ht="15.75" customHeight="1">
      <c r="A39" s="11">
        <v>33.0</v>
      </c>
      <c r="B39" s="13" t="s">
        <v>604</v>
      </c>
      <c r="C39" s="13" t="s">
        <v>605</v>
      </c>
      <c r="D39" s="16"/>
      <c r="E39" s="17"/>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E2"/>
    <mergeCell ref="A13:E13"/>
    <mergeCell ref="A18:E18"/>
    <mergeCell ref="A27:E27"/>
    <mergeCell ref="A34:E34"/>
  </mergeCells>
  <conditionalFormatting sqref="D2:D39">
    <cfRule type="cellIs" dxfId="0" priority="1" operator="equal">
      <formula>"Pass"</formula>
    </cfRule>
  </conditionalFormatting>
  <conditionalFormatting sqref="D2:D39">
    <cfRule type="cellIs" dxfId="1" priority="2" operator="equal">
      <formula>"Fail"</formula>
    </cfRule>
  </conditionalFormatting>
  <conditionalFormatting sqref="D2:D39">
    <cfRule type="cellIs" dxfId="2" priority="3" operator="equal">
      <formula>"Blocked"</formula>
    </cfRule>
  </conditionalFormatting>
  <conditionalFormatting sqref="D2:D39">
    <cfRule type="cellIs" dxfId="3" priority="4" operator="equal">
      <formula>"N/A"</formula>
    </cfRule>
  </conditionalFormatting>
  <dataValidations>
    <dataValidation type="list" allowBlank="1" showInputMessage="1" showErrorMessage="1" prompt="Please choose Pass, Fail, Blocked or N/A." sqref="D3:D12 D14:D17 D19:D26 D28:D33 D35:D39">
      <formula1>"Pass,Fail,Blocked,N/A"</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534</v>
      </c>
      <c r="B2" s="8"/>
      <c r="C2" s="8"/>
      <c r="D2" s="8"/>
      <c r="E2" s="10"/>
    </row>
    <row r="3">
      <c r="A3" s="11">
        <v>1.0</v>
      </c>
      <c r="B3" s="13" t="s">
        <v>540</v>
      </c>
      <c r="C3" s="13" t="s">
        <v>543</v>
      </c>
      <c r="D3" s="16"/>
      <c r="E3" s="17"/>
    </row>
    <row r="4">
      <c r="A4" s="19">
        <v>2.0</v>
      </c>
      <c r="B4" s="20" t="s">
        <v>548</v>
      </c>
      <c r="C4" s="20" t="s">
        <v>550</v>
      </c>
      <c r="D4" s="16"/>
      <c r="E4" s="21"/>
    </row>
    <row r="5">
      <c r="A5" s="11">
        <v>3.0</v>
      </c>
      <c r="B5" s="13" t="s">
        <v>557</v>
      </c>
      <c r="C5" s="13" t="s">
        <v>559</v>
      </c>
      <c r="D5" s="16"/>
      <c r="E5" s="17"/>
    </row>
    <row r="6" ht="18.75" customHeight="1">
      <c r="A6" s="7" t="s">
        <v>563</v>
      </c>
      <c r="B6" s="8"/>
      <c r="C6" s="8"/>
      <c r="D6" s="8"/>
      <c r="E6" s="10"/>
    </row>
    <row r="7">
      <c r="A7" s="19">
        <v>4.0</v>
      </c>
      <c r="B7" s="20" t="s">
        <v>568</v>
      </c>
      <c r="C7" s="20" t="s">
        <v>571</v>
      </c>
      <c r="D7" s="16"/>
      <c r="E7" s="21"/>
    </row>
    <row r="8">
      <c r="A8" s="11">
        <v>5.0</v>
      </c>
      <c r="B8" s="13" t="s">
        <v>577</v>
      </c>
      <c r="C8" s="13" t="s">
        <v>580</v>
      </c>
      <c r="D8" s="16"/>
      <c r="E8" s="17"/>
    </row>
    <row r="9">
      <c r="A9" s="19">
        <v>6.0</v>
      </c>
      <c r="B9" s="20" t="s">
        <v>584</v>
      </c>
      <c r="C9" s="20" t="s">
        <v>588</v>
      </c>
      <c r="D9" s="16"/>
      <c r="E9" s="21"/>
    </row>
    <row r="10">
      <c r="A10" s="11">
        <v>7.0</v>
      </c>
      <c r="B10" s="13" t="s">
        <v>594</v>
      </c>
      <c r="C10" s="13" t="s">
        <v>595</v>
      </c>
      <c r="D10" s="16"/>
      <c r="E10" s="17"/>
    </row>
    <row r="11">
      <c r="A11" s="19">
        <v>8.0</v>
      </c>
      <c r="B11" s="20" t="s">
        <v>602</v>
      </c>
      <c r="C11" s="20" t="s">
        <v>603</v>
      </c>
      <c r="D11" s="16"/>
      <c r="E11" s="21"/>
    </row>
    <row r="12">
      <c r="A12" s="11">
        <v>9.0</v>
      </c>
      <c r="B12" s="13" t="s">
        <v>606</v>
      </c>
      <c r="C12" s="13" t="s">
        <v>607</v>
      </c>
      <c r="D12" s="16"/>
      <c r="E12" s="17"/>
    </row>
    <row r="13" ht="18.75" customHeight="1">
      <c r="A13" s="7" t="s">
        <v>608</v>
      </c>
      <c r="B13" s="8"/>
      <c r="C13" s="8"/>
      <c r="D13" s="8"/>
      <c r="E13" s="10"/>
    </row>
    <row r="14">
      <c r="A14" s="19">
        <v>10.0</v>
      </c>
      <c r="B14" s="20" t="s">
        <v>609</v>
      </c>
      <c r="C14" s="20" t="s">
        <v>610</v>
      </c>
      <c r="D14" s="16"/>
      <c r="E14" s="21"/>
    </row>
    <row r="15">
      <c r="A15" s="11">
        <v>11.0</v>
      </c>
      <c r="B15" s="13" t="s">
        <v>611</v>
      </c>
      <c r="C15" s="13" t="s">
        <v>612</v>
      </c>
      <c r="D15" s="16"/>
      <c r="E15" s="17"/>
    </row>
    <row r="16" ht="18.75" customHeight="1">
      <c r="A16" s="7" t="s">
        <v>613</v>
      </c>
      <c r="B16" s="8"/>
      <c r="C16" s="8"/>
      <c r="D16" s="8"/>
      <c r="E16" s="10"/>
    </row>
    <row r="17">
      <c r="A17" s="19">
        <v>12.0</v>
      </c>
      <c r="B17" s="20" t="s">
        <v>614</v>
      </c>
      <c r="C17" s="20" t="s">
        <v>615</v>
      </c>
      <c r="D17" s="16"/>
      <c r="E17" s="21"/>
    </row>
    <row r="18">
      <c r="A18" s="11">
        <v>13.0</v>
      </c>
      <c r="B18" s="13" t="s">
        <v>616</v>
      </c>
      <c r="C18" s="13" t="s">
        <v>617</v>
      </c>
      <c r="D18" s="16"/>
      <c r="E18" s="17"/>
    </row>
    <row r="19">
      <c r="A19" s="19">
        <v>14.0</v>
      </c>
      <c r="B19" s="20" t="s">
        <v>618</v>
      </c>
      <c r="C19" s="20" t="s">
        <v>619</v>
      </c>
      <c r="D19" s="16"/>
      <c r="E19" s="21"/>
    </row>
    <row r="20" ht="18.75" customHeight="1">
      <c r="A20" s="7" t="s">
        <v>620</v>
      </c>
      <c r="B20" s="8"/>
      <c r="C20" s="8"/>
      <c r="D20" s="8"/>
      <c r="E20" s="10"/>
    </row>
    <row r="21" ht="15.75" customHeight="1">
      <c r="A21" s="11">
        <v>15.0</v>
      </c>
      <c r="B21" s="13" t="s">
        <v>621</v>
      </c>
      <c r="C21" s="13" t="s">
        <v>622</v>
      </c>
      <c r="D21" s="16"/>
      <c r="E21" s="17"/>
    </row>
    <row r="22" ht="15.75" customHeight="1">
      <c r="A22" s="19">
        <v>16.0</v>
      </c>
      <c r="B22" s="20" t="s">
        <v>624</v>
      </c>
      <c r="C22" s="20" t="s">
        <v>625</v>
      </c>
      <c r="D22" s="16"/>
      <c r="E22" s="21"/>
    </row>
    <row r="23" ht="15.75" customHeight="1">
      <c r="A23" s="11">
        <v>17.0</v>
      </c>
      <c r="B23" s="13" t="s">
        <v>628</v>
      </c>
      <c r="C23" s="13" t="s">
        <v>629</v>
      </c>
      <c r="D23" s="16"/>
      <c r="E23" s="17"/>
    </row>
    <row r="24" ht="18.75" customHeight="1">
      <c r="A24" s="7" t="s">
        <v>630</v>
      </c>
      <c r="B24" s="8"/>
      <c r="C24" s="8"/>
      <c r="D24" s="8"/>
      <c r="E24" s="10"/>
    </row>
    <row r="25" ht="15.75" customHeight="1">
      <c r="A25" s="19">
        <v>18.0</v>
      </c>
      <c r="B25" s="20" t="s">
        <v>633</v>
      </c>
      <c r="C25" s="20" t="s">
        <v>634</v>
      </c>
      <c r="D25" s="16"/>
      <c r="E25" s="21"/>
    </row>
    <row r="26" ht="15.75" customHeight="1">
      <c r="A26" s="11">
        <v>19.0</v>
      </c>
      <c r="B26" s="13" t="s">
        <v>637</v>
      </c>
      <c r="C26" s="13" t="s">
        <v>638</v>
      </c>
      <c r="D26" s="16"/>
      <c r="E26" s="17"/>
    </row>
    <row r="27" ht="18.75" customHeight="1">
      <c r="A27" s="7" t="s">
        <v>641</v>
      </c>
      <c r="B27" s="8"/>
      <c r="C27" s="8"/>
      <c r="D27" s="8"/>
      <c r="E27" s="10"/>
    </row>
    <row r="28" ht="15.75" customHeight="1">
      <c r="A28" s="19">
        <v>20.0</v>
      </c>
      <c r="B28" s="20" t="s">
        <v>644</v>
      </c>
      <c r="C28" s="20" t="s">
        <v>645</v>
      </c>
      <c r="D28" s="16"/>
      <c r="E28" s="21"/>
    </row>
    <row r="29" ht="15.75" customHeight="1">
      <c r="A29" s="11">
        <v>21.0</v>
      </c>
      <c r="B29" s="13" t="s">
        <v>647</v>
      </c>
      <c r="C29" s="13" t="s">
        <v>648</v>
      </c>
      <c r="D29" s="16"/>
      <c r="E29" s="17"/>
    </row>
    <row r="30" ht="15.75" customHeight="1">
      <c r="A30" s="19">
        <v>22.0</v>
      </c>
      <c r="B30" s="20" t="s">
        <v>651</v>
      </c>
      <c r="C30" s="20" t="s">
        <v>652</v>
      </c>
      <c r="D30" s="16"/>
      <c r="E30" s="21"/>
    </row>
    <row r="31" ht="18.75" customHeight="1">
      <c r="A31" s="7" t="s">
        <v>654</v>
      </c>
      <c r="B31" s="8"/>
      <c r="C31" s="8"/>
      <c r="D31" s="8"/>
      <c r="E31" s="10"/>
    </row>
    <row r="32" ht="15.75" customHeight="1">
      <c r="A32" s="11">
        <v>23.0</v>
      </c>
      <c r="B32" s="13" t="s">
        <v>657</v>
      </c>
      <c r="C32" s="13" t="s">
        <v>658</v>
      </c>
      <c r="D32" s="16"/>
      <c r="E32" s="17"/>
    </row>
    <row r="33" ht="15.75" customHeight="1">
      <c r="A33" s="19">
        <v>24.0</v>
      </c>
      <c r="B33" s="20" t="s">
        <v>662</v>
      </c>
      <c r="C33" s="20" t="s">
        <v>663</v>
      </c>
      <c r="D33" s="16"/>
      <c r="E33" s="21"/>
    </row>
    <row r="34" ht="18.75" customHeight="1">
      <c r="A34" s="7" t="s">
        <v>667</v>
      </c>
      <c r="B34" s="8"/>
      <c r="C34" s="8"/>
      <c r="D34" s="8"/>
      <c r="E34" s="10"/>
    </row>
    <row r="35" ht="15.75" customHeight="1">
      <c r="A35" s="11">
        <v>25.0</v>
      </c>
      <c r="B35" s="13" t="s">
        <v>674</v>
      </c>
      <c r="C35" s="13" t="s">
        <v>676</v>
      </c>
      <c r="D35" s="16"/>
      <c r="E35" s="17"/>
    </row>
    <row r="36" ht="15.75" customHeight="1">
      <c r="A36" s="19">
        <v>26.0</v>
      </c>
      <c r="B36" s="20" t="s">
        <v>683</v>
      </c>
      <c r="C36" s="20" t="s">
        <v>684</v>
      </c>
      <c r="D36" s="16"/>
      <c r="E36" s="21"/>
    </row>
    <row r="37" ht="15.75" customHeight="1">
      <c r="A37" s="11">
        <v>27.0</v>
      </c>
      <c r="B37" s="13" t="s">
        <v>691</v>
      </c>
      <c r="C37" s="13" t="s">
        <v>693</v>
      </c>
      <c r="D37" s="16"/>
      <c r="E37" s="17"/>
    </row>
    <row r="38" ht="15.75" customHeight="1">
      <c r="A38" s="19">
        <v>28.0</v>
      </c>
      <c r="B38" s="20" t="s">
        <v>703</v>
      </c>
      <c r="C38" s="20" t="s">
        <v>705</v>
      </c>
      <c r="D38" s="16"/>
      <c r="E38" s="21"/>
    </row>
    <row r="39" ht="15.75" customHeight="1">
      <c r="A39" s="11">
        <v>29.0</v>
      </c>
      <c r="B39" s="13" t="s">
        <v>718</v>
      </c>
      <c r="C39" s="13" t="s">
        <v>720</v>
      </c>
      <c r="D39" s="16"/>
      <c r="E39" s="17"/>
    </row>
    <row r="40" ht="15.75" customHeight="1">
      <c r="A40" s="19">
        <v>30.0</v>
      </c>
      <c r="B40" s="20" t="s">
        <v>728</v>
      </c>
      <c r="C40" s="20" t="s">
        <v>730</v>
      </c>
      <c r="D40" s="16"/>
      <c r="E40" s="21"/>
    </row>
    <row r="41" ht="18.75" customHeight="1">
      <c r="A41" s="7" t="s">
        <v>737</v>
      </c>
      <c r="B41" s="8"/>
      <c r="C41" s="8"/>
      <c r="D41" s="8"/>
      <c r="E41" s="10"/>
    </row>
    <row r="42" ht="15.75" customHeight="1">
      <c r="A42" s="11">
        <v>31.0</v>
      </c>
      <c r="B42" s="13" t="s">
        <v>748</v>
      </c>
      <c r="C42" s="13" t="s">
        <v>753</v>
      </c>
      <c r="D42" s="16"/>
      <c r="E42" s="17"/>
    </row>
    <row r="43" ht="15.75" customHeight="1">
      <c r="A43" s="19">
        <v>32.0</v>
      </c>
      <c r="B43" s="20" t="s">
        <v>767</v>
      </c>
      <c r="C43" s="20" t="s">
        <v>770</v>
      </c>
      <c r="D43" s="16"/>
      <c r="E43" s="21"/>
    </row>
    <row r="44" ht="15.75" customHeight="1">
      <c r="A44" s="11">
        <v>33.0</v>
      </c>
      <c r="B44" s="13" t="s">
        <v>786</v>
      </c>
      <c r="C44" s="13" t="s">
        <v>791</v>
      </c>
      <c r="D44" s="16"/>
      <c r="E44" s="17"/>
    </row>
    <row r="45" ht="18.75" customHeight="1">
      <c r="A45" s="7" t="s">
        <v>796</v>
      </c>
      <c r="B45" s="8"/>
      <c r="C45" s="8"/>
      <c r="D45" s="8"/>
      <c r="E45" s="10"/>
    </row>
    <row r="46" ht="15.75" customHeight="1">
      <c r="A46" s="19">
        <v>34.0</v>
      </c>
      <c r="B46" s="20" t="s">
        <v>812</v>
      </c>
      <c r="C46" s="20" t="s">
        <v>816</v>
      </c>
      <c r="D46" s="16"/>
      <c r="E46" s="21"/>
    </row>
    <row r="47" ht="15.75" customHeight="1">
      <c r="A47" s="11">
        <v>35.0</v>
      </c>
      <c r="B47" s="13" t="s">
        <v>826</v>
      </c>
      <c r="C47" s="13" t="s">
        <v>829</v>
      </c>
      <c r="D47" s="16"/>
      <c r="E47" s="17"/>
    </row>
    <row r="48" ht="15.75" customHeight="1">
      <c r="A48" s="19">
        <v>36.0</v>
      </c>
      <c r="B48" s="20" t="s">
        <v>835</v>
      </c>
      <c r="C48" s="20" t="s">
        <v>837</v>
      </c>
      <c r="D48" s="16"/>
      <c r="E48" s="21"/>
    </row>
    <row r="49" ht="15.75" customHeight="1">
      <c r="A49" s="11">
        <v>37.0</v>
      </c>
      <c r="B49" s="13" t="s">
        <v>843</v>
      </c>
      <c r="C49" s="13" t="s">
        <v>848</v>
      </c>
      <c r="D49" s="16"/>
      <c r="E49" s="17"/>
    </row>
    <row r="50" ht="18.75" customHeight="1">
      <c r="A50" s="7" t="s">
        <v>852</v>
      </c>
      <c r="B50" s="8"/>
      <c r="C50" s="8"/>
      <c r="D50" s="8"/>
      <c r="E50" s="10"/>
    </row>
    <row r="51" ht="15.75" customHeight="1">
      <c r="A51" s="19">
        <v>38.0</v>
      </c>
      <c r="B51" s="20" t="s">
        <v>861</v>
      </c>
      <c r="C51" s="20" t="s">
        <v>864</v>
      </c>
      <c r="D51" s="16"/>
      <c r="E51" s="21"/>
    </row>
    <row r="52" ht="15.75" customHeight="1">
      <c r="A52" s="11">
        <v>39.0</v>
      </c>
      <c r="B52" s="13" t="s">
        <v>874</v>
      </c>
      <c r="C52" s="13" t="s">
        <v>877</v>
      </c>
      <c r="D52" s="16"/>
      <c r="E52" s="17"/>
    </row>
    <row r="53" ht="15.75" customHeight="1">
      <c r="A53" s="19">
        <v>40.0</v>
      </c>
      <c r="B53" s="20" t="s">
        <v>882</v>
      </c>
      <c r="C53" s="20" t="s">
        <v>884</v>
      </c>
      <c r="D53" s="16"/>
      <c r="E53" s="21"/>
    </row>
    <row r="54" ht="15.75" customHeight="1">
      <c r="A54" s="11">
        <v>41.0</v>
      </c>
      <c r="B54" s="13" t="s">
        <v>889</v>
      </c>
      <c r="C54" s="13" t="s">
        <v>890</v>
      </c>
      <c r="D54" s="16"/>
      <c r="E54" s="17"/>
    </row>
    <row r="55" ht="18.75" customHeight="1">
      <c r="A55" s="7" t="s">
        <v>893</v>
      </c>
      <c r="B55" s="8"/>
      <c r="C55" s="8"/>
      <c r="D55" s="8"/>
      <c r="E55" s="10"/>
    </row>
    <row r="56" ht="15.75" customHeight="1">
      <c r="A56" s="19">
        <v>42.0</v>
      </c>
      <c r="B56" s="20" t="s">
        <v>895</v>
      </c>
      <c r="C56" s="20" t="s">
        <v>897</v>
      </c>
      <c r="D56" s="16"/>
      <c r="E56" s="21"/>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31:E31"/>
    <mergeCell ref="A34:E34"/>
    <mergeCell ref="A41:E41"/>
    <mergeCell ref="A45:E45"/>
    <mergeCell ref="A50:E50"/>
    <mergeCell ref="A55:E55"/>
    <mergeCell ref="A2:E2"/>
    <mergeCell ref="A6:E6"/>
    <mergeCell ref="A13:E13"/>
    <mergeCell ref="A16:E16"/>
    <mergeCell ref="A20:E20"/>
    <mergeCell ref="A24:E24"/>
    <mergeCell ref="A27:E27"/>
  </mergeCells>
  <conditionalFormatting sqref="D2:D56">
    <cfRule type="cellIs" dxfId="0" priority="1" operator="equal">
      <formula>"Pass"</formula>
    </cfRule>
  </conditionalFormatting>
  <conditionalFormatting sqref="D2:D56">
    <cfRule type="cellIs" dxfId="1" priority="2" operator="equal">
      <formula>"Fail"</formula>
    </cfRule>
  </conditionalFormatting>
  <conditionalFormatting sqref="D2:D56">
    <cfRule type="cellIs" dxfId="2" priority="3" operator="equal">
      <formula>"Blocked"</formula>
    </cfRule>
  </conditionalFormatting>
  <conditionalFormatting sqref="D2:D56">
    <cfRule type="cellIs" dxfId="3" priority="4" operator="equal">
      <formula>"N/A"</formula>
    </cfRule>
  </conditionalFormatting>
  <dataValidations>
    <dataValidation type="list" allowBlank="1" showInputMessage="1" showErrorMessage="1" prompt="Please choose Pass, Fail, Blocked or N/A." sqref="D3:D5 D7:D12 D14:D15 D17:D19 D21:D23 D25:D26 D28:D30 D32:D33 D35:D40 D42:D44 D46:D49 D51:D54 D56">
      <formula1>"Pass,Fail,Blocked,N/A"</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623</v>
      </c>
      <c r="B2" s="8"/>
      <c r="C2" s="8"/>
      <c r="D2" s="8"/>
      <c r="E2" s="10"/>
    </row>
    <row r="3">
      <c r="A3" s="11">
        <v>1.0</v>
      </c>
      <c r="B3" s="13" t="s">
        <v>626</v>
      </c>
      <c r="C3" s="13" t="s">
        <v>627</v>
      </c>
      <c r="D3" s="16"/>
      <c r="E3" s="17"/>
    </row>
    <row r="4">
      <c r="A4" s="19">
        <v>2.0</v>
      </c>
      <c r="B4" s="20" t="s">
        <v>631</v>
      </c>
      <c r="C4" s="20" t="s">
        <v>632</v>
      </c>
      <c r="D4" s="16"/>
      <c r="E4" s="21"/>
    </row>
    <row r="5">
      <c r="A5" s="11">
        <v>3.0</v>
      </c>
      <c r="B5" s="13" t="s">
        <v>635</v>
      </c>
      <c r="C5" s="13" t="s">
        <v>636</v>
      </c>
      <c r="D5" s="16"/>
      <c r="E5" s="17"/>
    </row>
    <row r="6">
      <c r="A6" s="19">
        <v>4.0</v>
      </c>
      <c r="B6" s="20" t="s">
        <v>639</v>
      </c>
      <c r="C6" s="20" t="s">
        <v>640</v>
      </c>
      <c r="D6" s="16"/>
      <c r="E6" s="21"/>
    </row>
    <row r="7">
      <c r="A7" s="11">
        <v>5.0</v>
      </c>
      <c r="B7" s="13" t="s">
        <v>642</v>
      </c>
      <c r="C7" s="13" t="s">
        <v>643</v>
      </c>
      <c r="D7" s="16"/>
      <c r="E7" s="17"/>
    </row>
    <row r="8" ht="18.75" customHeight="1">
      <c r="A8" s="7" t="s">
        <v>646</v>
      </c>
      <c r="B8" s="8"/>
      <c r="C8" s="8"/>
      <c r="D8" s="8"/>
      <c r="E8" s="10"/>
    </row>
    <row r="9">
      <c r="A9" s="19">
        <v>6.0</v>
      </c>
      <c r="B9" s="20" t="s">
        <v>649</v>
      </c>
      <c r="C9" s="20" t="s">
        <v>650</v>
      </c>
      <c r="D9" s="16"/>
      <c r="E9" s="21"/>
    </row>
    <row r="10">
      <c r="A10" s="11">
        <v>7.0</v>
      </c>
      <c r="B10" s="13" t="s">
        <v>653</v>
      </c>
      <c r="C10" s="13" t="s">
        <v>655</v>
      </c>
      <c r="D10" s="16"/>
      <c r="E10" s="17"/>
    </row>
    <row r="11" ht="18.75" customHeight="1">
      <c r="A11" s="7" t="s">
        <v>656</v>
      </c>
      <c r="B11" s="8"/>
      <c r="C11" s="8"/>
      <c r="D11" s="8"/>
      <c r="E11" s="10"/>
    </row>
    <row r="12">
      <c r="A12" s="19">
        <v>8.0</v>
      </c>
      <c r="B12" s="20" t="s">
        <v>659</v>
      </c>
      <c r="C12" s="20" t="s">
        <v>661</v>
      </c>
      <c r="D12" s="16"/>
      <c r="E12" s="21"/>
    </row>
    <row r="13">
      <c r="A13" s="11">
        <v>9.0</v>
      </c>
      <c r="B13" s="13" t="s">
        <v>666</v>
      </c>
      <c r="C13" s="13" t="s">
        <v>668</v>
      </c>
      <c r="D13" s="16"/>
      <c r="E13" s="17"/>
    </row>
    <row r="14">
      <c r="A14" s="19">
        <v>10.0</v>
      </c>
      <c r="B14" s="20" t="s">
        <v>670</v>
      </c>
      <c r="C14" s="20" t="s">
        <v>673</v>
      </c>
      <c r="D14" s="16"/>
      <c r="E14" s="21"/>
    </row>
    <row r="15">
      <c r="A15" s="11">
        <v>11.0</v>
      </c>
      <c r="B15" s="13" t="s">
        <v>678</v>
      </c>
      <c r="C15" s="13" t="s">
        <v>679</v>
      </c>
      <c r="D15" s="16"/>
      <c r="E15" s="17"/>
    </row>
    <row r="16">
      <c r="A16" s="19">
        <v>12.0</v>
      </c>
      <c r="B16" s="20" t="s">
        <v>685</v>
      </c>
      <c r="C16" s="20" t="s">
        <v>687</v>
      </c>
      <c r="D16" s="16"/>
      <c r="E16" s="21"/>
    </row>
    <row r="17">
      <c r="A17" s="11">
        <v>13.0</v>
      </c>
      <c r="B17" s="13" t="s">
        <v>696</v>
      </c>
      <c r="C17" s="13" t="s">
        <v>698</v>
      </c>
      <c r="D17" s="16"/>
      <c r="E17" s="17"/>
    </row>
    <row r="18">
      <c r="A18" s="19">
        <v>14.0</v>
      </c>
      <c r="B18" s="20" t="s">
        <v>706</v>
      </c>
      <c r="C18" s="20" t="s">
        <v>708</v>
      </c>
      <c r="D18" s="16"/>
      <c r="E18" s="21"/>
    </row>
    <row r="19" ht="18.75" customHeight="1">
      <c r="A19" s="7" t="s">
        <v>716</v>
      </c>
      <c r="B19" s="8"/>
      <c r="C19" s="8"/>
      <c r="D19" s="8"/>
      <c r="E19" s="10"/>
    </row>
    <row r="20">
      <c r="A20" s="11">
        <v>15.0</v>
      </c>
      <c r="B20" s="13" t="s">
        <v>725</v>
      </c>
      <c r="C20" s="13" t="s">
        <v>727</v>
      </c>
      <c r="D20" s="16"/>
      <c r="E20" s="17"/>
    </row>
    <row r="21" ht="15.75" customHeight="1">
      <c r="A21" s="19">
        <v>16.0</v>
      </c>
      <c r="B21" s="20" t="s">
        <v>736</v>
      </c>
      <c r="C21" s="20" t="s">
        <v>740</v>
      </c>
      <c r="D21" s="16"/>
      <c r="E21" s="21"/>
    </row>
    <row r="22" ht="15.75" customHeight="1">
      <c r="A22" s="11">
        <v>17.0</v>
      </c>
      <c r="B22" s="13" t="s">
        <v>747</v>
      </c>
      <c r="C22" s="13" t="s">
        <v>750</v>
      </c>
      <c r="D22" s="16"/>
      <c r="E22" s="17"/>
    </row>
    <row r="23" ht="15.75" customHeight="1">
      <c r="A23" s="19">
        <v>18.0</v>
      </c>
      <c r="B23" s="20" t="s">
        <v>755</v>
      </c>
      <c r="C23" s="20" t="s">
        <v>758</v>
      </c>
      <c r="D23" s="16"/>
      <c r="E23" s="21"/>
    </row>
    <row r="24" ht="15.75" customHeight="1">
      <c r="A24" s="11">
        <v>19.0</v>
      </c>
      <c r="B24" s="13" t="s">
        <v>766</v>
      </c>
      <c r="C24" s="13" t="s">
        <v>769</v>
      </c>
      <c r="D24" s="16"/>
      <c r="E24" s="17"/>
    </row>
    <row r="25" ht="15.75" customHeight="1">
      <c r="A25" s="19">
        <v>20.0</v>
      </c>
      <c r="B25" s="20" t="s">
        <v>776</v>
      </c>
      <c r="C25" s="20" t="s">
        <v>779</v>
      </c>
      <c r="D25" s="16"/>
      <c r="E25" s="21"/>
    </row>
    <row r="26" ht="15.75" customHeight="1">
      <c r="A26" s="11">
        <v>21.0</v>
      </c>
      <c r="B26" s="13" t="s">
        <v>785</v>
      </c>
      <c r="C26" s="13" t="s">
        <v>787</v>
      </c>
      <c r="D26" s="16"/>
      <c r="E26" s="17"/>
    </row>
    <row r="27" ht="18.75" customHeight="1">
      <c r="A27" s="7" t="s">
        <v>792</v>
      </c>
      <c r="B27" s="8"/>
      <c r="C27" s="8"/>
      <c r="D27" s="8"/>
      <c r="E27" s="10"/>
    </row>
    <row r="28" ht="15.75" customHeight="1">
      <c r="A28" s="19">
        <v>22.0</v>
      </c>
      <c r="B28" s="20" t="s">
        <v>798</v>
      </c>
      <c r="C28" s="20" t="s">
        <v>800</v>
      </c>
      <c r="D28" s="16"/>
      <c r="E28" s="21"/>
    </row>
    <row r="29" ht="15.75" customHeight="1">
      <c r="A29" s="11">
        <v>23.0</v>
      </c>
      <c r="B29" s="13" t="s">
        <v>807</v>
      </c>
      <c r="C29" s="13" t="s">
        <v>811</v>
      </c>
      <c r="D29" s="16"/>
      <c r="E29" s="17"/>
    </row>
    <row r="30" ht="18.75" customHeight="1">
      <c r="A30" s="7" t="s">
        <v>820</v>
      </c>
      <c r="B30" s="8"/>
      <c r="C30" s="8"/>
      <c r="D30" s="8"/>
      <c r="E30" s="10"/>
    </row>
    <row r="31" ht="15.75" customHeight="1">
      <c r="A31" s="19">
        <v>24.0</v>
      </c>
      <c r="B31" s="20" t="s">
        <v>828</v>
      </c>
      <c r="C31" s="20" t="s">
        <v>831</v>
      </c>
      <c r="D31" s="16"/>
      <c r="E31" s="21"/>
    </row>
    <row r="32" ht="15.75" customHeight="1">
      <c r="A32" s="11">
        <v>25.0</v>
      </c>
      <c r="B32" s="13" t="s">
        <v>836</v>
      </c>
      <c r="C32" s="13" t="s">
        <v>839</v>
      </c>
      <c r="D32" s="16"/>
      <c r="E32" s="17"/>
    </row>
    <row r="33" ht="15.75" customHeight="1">
      <c r="A33" s="19">
        <v>26.0</v>
      </c>
      <c r="B33" s="20" t="s">
        <v>845</v>
      </c>
      <c r="C33" s="20" t="s">
        <v>849</v>
      </c>
      <c r="D33" s="16"/>
      <c r="E33" s="21"/>
    </row>
    <row r="34" ht="15.75" customHeight="1">
      <c r="A34" s="11">
        <v>27.0</v>
      </c>
      <c r="B34" s="13" t="s">
        <v>854</v>
      </c>
      <c r="C34" s="13" t="s">
        <v>857</v>
      </c>
      <c r="D34" s="16"/>
      <c r="E34" s="17"/>
    </row>
    <row r="35" ht="15.75" customHeight="1">
      <c r="A35" s="19">
        <v>28.0</v>
      </c>
      <c r="B35" s="20" t="s">
        <v>863</v>
      </c>
      <c r="C35" s="20" t="s">
        <v>867</v>
      </c>
      <c r="D35" s="16"/>
      <c r="E35" s="21"/>
    </row>
    <row r="36" ht="18.75" customHeight="1">
      <c r="A36" s="7" t="s">
        <v>871</v>
      </c>
      <c r="B36" s="8"/>
      <c r="C36" s="8"/>
      <c r="D36" s="8"/>
      <c r="E36" s="10"/>
    </row>
    <row r="37" ht="15.75" customHeight="1">
      <c r="A37" s="11">
        <v>29.0</v>
      </c>
      <c r="B37" s="13" t="s">
        <v>878</v>
      </c>
      <c r="C37" s="13" t="s">
        <v>881</v>
      </c>
      <c r="D37" s="16"/>
      <c r="E37" s="17"/>
    </row>
    <row r="38" ht="15.75" customHeight="1">
      <c r="A38" s="19">
        <v>30.0</v>
      </c>
      <c r="B38" s="20" t="s">
        <v>887</v>
      </c>
      <c r="C38" s="20" t="s">
        <v>888</v>
      </c>
      <c r="D38" s="16"/>
      <c r="E38" s="21"/>
    </row>
    <row r="39" ht="15.75" customHeight="1">
      <c r="A39" s="11">
        <v>31.0</v>
      </c>
      <c r="B39" s="13" t="s">
        <v>891</v>
      </c>
      <c r="C39" s="13" t="s">
        <v>892</v>
      </c>
      <c r="D39" s="16"/>
      <c r="E39" s="17"/>
    </row>
    <row r="40" ht="15.75" customHeight="1">
      <c r="A40" s="19">
        <v>32.0</v>
      </c>
      <c r="B40" s="20" t="s">
        <v>894</v>
      </c>
      <c r="C40" s="20" t="s">
        <v>896</v>
      </c>
      <c r="D40" s="16"/>
      <c r="E40" s="21"/>
    </row>
    <row r="41" ht="18.75" customHeight="1">
      <c r="A41" s="7" t="s">
        <v>898</v>
      </c>
      <c r="B41" s="8"/>
      <c r="C41" s="8"/>
      <c r="D41" s="8"/>
      <c r="E41" s="10"/>
    </row>
    <row r="42" ht="15.75" customHeight="1">
      <c r="A42" s="11">
        <v>33.0</v>
      </c>
      <c r="B42" s="13" t="s">
        <v>899</v>
      </c>
      <c r="C42" s="13" t="s">
        <v>900</v>
      </c>
      <c r="D42" s="16"/>
      <c r="E42" s="17"/>
    </row>
    <row r="43" ht="15.75" customHeight="1">
      <c r="A43" s="19">
        <v>34.0</v>
      </c>
      <c r="B43" s="20" t="s">
        <v>901</v>
      </c>
      <c r="C43" s="20" t="s">
        <v>902</v>
      </c>
      <c r="D43" s="16"/>
      <c r="E43" s="21"/>
    </row>
    <row r="44" ht="15.75" customHeight="1">
      <c r="A44" s="11">
        <v>35.0</v>
      </c>
      <c r="B44" s="13" t="s">
        <v>903</v>
      </c>
      <c r="C44" s="13" t="s">
        <v>904</v>
      </c>
      <c r="D44" s="16"/>
      <c r="E44" s="17"/>
    </row>
    <row r="45" ht="15.75" customHeight="1">
      <c r="A45" s="19">
        <v>36.0</v>
      </c>
      <c r="B45" s="20" t="s">
        <v>905</v>
      </c>
      <c r="C45" s="20" t="s">
        <v>906</v>
      </c>
      <c r="D45" s="16"/>
      <c r="E45" s="21"/>
    </row>
    <row r="46" ht="15.75" customHeight="1">
      <c r="A46" s="11">
        <v>37.0</v>
      </c>
      <c r="B46" s="13" t="s">
        <v>907</v>
      </c>
      <c r="C46" s="13" t="s">
        <v>908</v>
      </c>
      <c r="D46" s="16"/>
      <c r="E46" s="17"/>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E2"/>
    <mergeCell ref="A8:E8"/>
    <mergeCell ref="A11:E11"/>
    <mergeCell ref="A19:E19"/>
    <mergeCell ref="A27:E27"/>
    <mergeCell ref="A30:E30"/>
    <mergeCell ref="A36:E36"/>
    <mergeCell ref="A41:E41"/>
  </mergeCells>
  <conditionalFormatting sqref="D2:D46">
    <cfRule type="cellIs" dxfId="0" priority="1" operator="equal">
      <formula>"Pass"</formula>
    </cfRule>
  </conditionalFormatting>
  <conditionalFormatting sqref="D2:D46">
    <cfRule type="cellIs" dxfId="1" priority="2" operator="equal">
      <formula>"Fail"</formula>
    </cfRule>
  </conditionalFormatting>
  <conditionalFormatting sqref="D2:D46">
    <cfRule type="cellIs" dxfId="2" priority="3" operator="equal">
      <formula>"Blocked"</formula>
    </cfRule>
  </conditionalFormatting>
  <conditionalFormatting sqref="D2:D46">
    <cfRule type="cellIs" dxfId="3" priority="4" operator="equal">
      <formula>"N/A"</formula>
    </cfRule>
  </conditionalFormatting>
  <dataValidations>
    <dataValidation type="list" allowBlank="1" showInputMessage="1" showErrorMessage="1" prompt="Please choose Pass, Fail, Blocked or N/A." sqref="D3:D7 D9:D10 D12:D18 D20:D26 D28:D29 D31:D35 D37:D40 D42:D46">
      <formula1>"Pass,Fail,Blocked,N/A"</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54.86"/>
    <col customWidth="1" min="6" max="26" width="8.71"/>
  </cols>
  <sheetData>
    <row r="1" ht="21.75" customHeight="1">
      <c r="A1" s="2" t="s">
        <v>2</v>
      </c>
      <c r="B1" s="2" t="s">
        <v>4</v>
      </c>
      <c r="C1" s="2" t="s">
        <v>6</v>
      </c>
      <c r="D1" s="2" t="s">
        <v>7</v>
      </c>
      <c r="E1" s="2" t="s">
        <v>10</v>
      </c>
    </row>
    <row r="2" ht="18.75" customHeight="1">
      <c r="A2" s="7" t="s">
        <v>660</v>
      </c>
      <c r="B2" s="8"/>
      <c r="C2" s="8"/>
      <c r="D2" s="8"/>
      <c r="E2" s="10"/>
    </row>
    <row r="3">
      <c r="A3" s="11">
        <v>1.0</v>
      </c>
      <c r="B3" s="13" t="s">
        <v>664</v>
      </c>
      <c r="C3" s="13" t="s">
        <v>665</v>
      </c>
      <c r="D3" s="43" t="s">
        <v>86</v>
      </c>
      <c r="E3" s="44" t="s">
        <v>669</v>
      </c>
    </row>
    <row r="4">
      <c r="A4" s="19">
        <v>2.0</v>
      </c>
      <c r="B4" s="20" t="s">
        <v>671</v>
      </c>
      <c r="C4" s="20" t="s">
        <v>672</v>
      </c>
      <c r="D4" s="43" t="s">
        <v>86</v>
      </c>
      <c r="E4" s="45" t="s">
        <v>675</v>
      </c>
    </row>
    <row r="5" ht="18.75" customHeight="1">
      <c r="A5" s="7" t="s">
        <v>677</v>
      </c>
      <c r="B5" s="8"/>
      <c r="C5" s="8"/>
      <c r="D5" s="8"/>
      <c r="E5" s="10"/>
    </row>
    <row r="6">
      <c r="A6" s="11">
        <v>3.0</v>
      </c>
      <c r="B6" s="13" t="s">
        <v>680</v>
      </c>
      <c r="C6" s="13" t="s">
        <v>681</v>
      </c>
      <c r="D6" s="43" t="s">
        <v>84</v>
      </c>
      <c r="E6" s="17"/>
    </row>
    <row r="7">
      <c r="A7" s="19">
        <v>4.0</v>
      </c>
      <c r="B7" s="20" t="s">
        <v>689</v>
      </c>
      <c r="C7" s="20" t="s">
        <v>690</v>
      </c>
      <c r="D7" s="43" t="s">
        <v>84</v>
      </c>
      <c r="E7" s="45" t="s">
        <v>692</v>
      </c>
    </row>
    <row r="8">
      <c r="A8" s="11">
        <v>5.0</v>
      </c>
      <c r="B8" s="13" t="s">
        <v>695</v>
      </c>
      <c r="C8" s="13" t="s">
        <v>697</v>
      </c>
      <c r="D8" s="43" t="s">
        <v>85</v>
      </c>
      <c r="E8" s="44" t="s">
        <v>699</v>
      </c>
    </row>
    <row r="9">
      <c r="A9" s="19">
        <v>6.0</v>
      </c>
      <c r="B9" s="20" t="s">
        <v>702</v>
      </c>
      <c r="C9" s="20" t="s">
        <v>704</v>
      </c>
      <c r="D9" s="43" t="s">
        <v>84</v>
      </c>
      <c r="E9" s="21"/>
    </row>
    <row r="10">
      <c r="A10" s="11">
        <v>7.0</v>
      </c>
      <c r="B10" s="13" t="s">
        <v>710</v>
      </c>
      <c r="C10" s="13" t="s">
        <v>711</v>
      </c>
      <c r="D10" s="43" t="s">
        <v>86</v>
      </c>
      <c r="E10" s="44" t="s">
        <v>714</v>
      </c>
    </row>
    <row r="11" ht="18.75" customHeight="1">
      <c r="A11" s="7" t="s">
        <v>715</v>
      </c>
      <c r="B11" s="8"/>
      <c r="C11" s="8"/>
      <c r="D11" s="8"/>
      <c r="E11" s="10"/>
    </row>
    <row r="12">
      <c r="A12" s="19">
        <v>8.0</v>
      </c>
      <c r="B12" s="20" t="s">
        <v>722</v>
      </c>
      <c r="C12" s="20" t="s">
        <v>723</v>
      </c>
      <c r="D12" s="43" t="s">
        <v>85</v>
      </c>
      <c r="E12" s="21"/>
    </row>
    <row r="13">
      <c r="A13" s="11">
        <v>9.0</v>
      </c>
      <c r="B13" s="13" t="s">
        <v>729</v>
      </c>
      <c r="C13" s="13" t="s">
        <v>731</v>
      </c>
      <c r="D13" s="43" t="s">
        <v>85</v>
      </c>
      <c r="E13" s="44" t="s">
        <v>734</v>
      </c>
    </row>
    <row r="14">
      <c r="A14" s="19">
        <v>10.0</v>
      </c>
      <c r="B14" s="20" t="s">
        <v>735</v>
      </c>
      <c r="C14" s="20" t="s">
        <v>738</v>
      </c>
      <c r="D14" s="43" t="s">
        <v>85</v>
      </c>
      <c r="E14" s="21"/>
    </row>
    <row r="15">
      <c r="A15" s="11">
        <v>11.0</v>
      </c>
      <c r="B15" s="13" t="s">
        <v>743</v>
      </c>
      <c r="C15" s="13" t="s">
        <v>744</v>
      </c>
      <c r="D15" s="43" t="s">
        <v>86</v>
      </c>
      <c r="E15" s="44" t="s">
        <v>746</v>
      </c>
    </row>
    <row r="16" ht="18.75" customHeight="1">
      <c r="A16" s="7" t="s">
        <v>749</v>
      </c>
      <c r="B16" s="8"/>
      <c r="C16" s="8"/>
      <c r="D16" s="8"/>
      <c r="E16" s="10"/>
    </row>
    <row r="17">
      <c r="A17" s="19">
        <v>12.0</v>
      </c>
      <c r="B17" s="20" t="s">
        <v>754</v>
      </c>
      <c r="C17" s="20" t="s">
        <v>661</v>
      </c>
      <c r="D17" s="43" t="s">
        <v>84</v>
      </c>
      <c r="E17" s="21"/>
    </row>
    <row r="18">
      <c r="A18" s="11">
        <v>13.0</v>
      </c>
      <c r="B18" s="13" t="s">
        <v>759</v>
      </c>
      <c r="C18" s="13" t="s">
        <v>760</v>
      </c>
      <c r="D18" s="43" t="s">
        <v>85</v>
      </c>
      <c r="E18" s="44" t="s">
        <v>762</v>
      </c>
    </row>
    <row r="19">
      <c r="A19" s="19">
        <v>14.0</v>
      </c>
      <c r="B19" s="20" t="s">
        <v>765</v>
      </c>
      <c r="C19" s="20" t="s">
        <v>768</v>
      </c>
      <c r="D19" s="43" t="s">
        <v>84</v>
      </c>
      <c r="E19" s="21"/>
    </row>
    <row r="20">
      <c r="A20" s="11">
        <v>15.0</v>
      </c>
      <c r="B20" s="13" t="s">
        <v>773</v>
      </c>
      <c r="C20" s="13" t="s">
        <v>774</v>
      </c>
      <c r="D20" s="43" t="s">
        <v>84</v>
      </c>
      <c r="E20" s="17"/>
    </row>
    <row r="21" ht="18.75" customHeight="1">
      <c r="A21" s="7" t="s">
        <v>778</v>
      </c>
      <c r="B21" s="8"/>
      <c r="C21" s="8"/>
      <c r="D21" s="8"/>
      <c r="E21" s="10"/>
    </row>
    <row r="22" ht="15.75" customHeight="1">
      <c r="A22" s="19">
        <v>16.0</v>
      </c>
      <c r="B22" s="20" t="s">
        <v>782</v>
      </c>
      <c r="C22" s="20" t="s">
        <v>783</v>
      </c>
      <c r="D22" s="43" t="s">
        <v>84</v>
      </c>
      <c r="E22" s="21"/>
    </row>
    <row r="23" ht="33.0" customHeight="1">
      <c r="A23" s="11">
        <v>17.0</v>
      </c>
      <c r="B23" s="13" t="s">
        <v>789</v>
      </c>
      <c r="C23" s="13" t="s">
        <v>793</v>
      </c>
      <c r="D23" s="43" t="s">
        <v>84</v>
      </c>
      <c r="E23" s="44" t="s">
        <v>794</v>
      </c>
    </row>
    <row r="24" ht="15.75" customHeight="1">
      <c r="A24" s="19">
        <v>18.0</v>
      </c>
      <c r="B24" s="20" t="s">
        <v>797</v>
      </c>
      <c r="C24" s="20" t="s">
        <v>799</v>
      </c>
      <c r="D24" s="43" t="s">
        <v>84</v>
      </c>
      <c r="E24" s="45" t="s">
        <v>801</v>
      </c>
    </row>
    <row r="25" ht="15.75" customHeight="1">
      <c r="A25" s="11">
        <v>19.0</v>
      </c>
      <c r="B25" s="13" t="s">
        <v>804</v>
      </c>
      <c r="C25" s="13" t="s">
        <v>805</v>
      </c>
      <c r="D25" s="43" t="s">
        <v>84</v>
      </c>
      <c r="E25" s="44" t="s">
        <v>806</v>
      </c>
    </row>
    <row r="26" ht="15.75" customHeight="1">
      <c r="A26" s="19">
        <v>20.0</v>
      </c>
      <c r="B26" s="20" t="s">
        <v>808</v>
      </c>
      <c r="C26" s="20" t="s">
        <v>809</v>
      </c>
      <c r="D26" s="43" t="s">
        <v>84</v>
      </c>
      <c r="E26" s="45" t="s">
        <v>814</v>
      </c>
    </row>
    <row r="27" ht="15.75" customHeight="1">
      <c r="A27" s="11">
        <v>21.0</v>
      </c>
      <c r="B27" s="13" t="s">
        <v>817</v>
      </c>
      <c r="C27" s="13" t="s">
        <v>819</v>
      </c>
      <c r="D27" s="43" t="s">
        <v>86</v>
      </c>
      <c r="E27" s="44" t="s">
        <v>821</v>
      </c>
    </row>
    <row r="28" ht="15.75" customHeight="1">
      <c r="A28" s="19">
        <v>22.0</v>
      </c>
      <c r="B28" s="20" t="s">
        <v>823</v>
      </c>
      <c r="C28" s="20" t="s">
        <v>825</v>
      </c>
      <c r="D28" s="43" t="s">
        <v>84</v>
      </c>
      <c r="E28" s="45" t="s">
        <v>827</v>
      </c>
    </row>
    <row r="29" ht="18.75" customHeight="1">
      <c r="A29" s="7" t="s">
        <v>830</v>
      </c>
      <c r="B29" s="8"/>
      <c r="C29" s="8"/>
      <c r="D29" s="8"/>
      <c r="E29" s="10"/>
    </row>
    <row r="30" ht="15.75" customHeight="1">
      <c r="A30" s="11">
        <v>23.0</v>
      </c>
      <c r="B30" s="13" t="s">
        <v>833</v>
      </c>
      <c r="C30" s="13" t="s">
        <v>834</v>
      </c>
      <c r="D30" s="43" t="s">
        <v>84</v>
      </c>
      <c r="E30" s="44" t="s">
        <v>827</v>
      </c>
    </row>
    <row r="31" ht="15.75" customHeight="1">
      <c r="A31" s="19">
        <v>24.0</v>
      </c>
      <c r="B31" s="20" t="s">
        <v>841</v>
      </c>
      <c r="C31" s="20" t="s">
        <v>842</v>
      </c>
      <c r="D31" s="43" t="s">
        <v>84</v>
      </c>
      <c r="E31" s="45" t="s">
        <v>827</v>
      </c>
    </row>
    <row r="32" ht="15.75" customHeight="1">
      <c r="A32" s="11">
        <v>25.0</v>
      </c>
      <c r="B32" s="13" t="s">
        <v>844</v>
      </c>
      <c r="C32" s="13" t="s">
        <v>846</v>
      </c>
      <c r="D32" s="43" t="s">
        <v>84</v>
      </c>
      <c r="E32" s="17"/>
    </row>
    <row r="33" ht="18.75" customHeight="1">
      <c r="A33" s="7" t="s">
        <v>851</v>
      </c>
      <c r="B33" s="8"/>
      <c r="C33" s="8"/>
      <c r="D33" s="8"/>
      <c r="E33" s="10"/>
    </row>
    <row r="34" ht="15.75" customHeight="1">
      <c r="A34" s="19">
        <v>26.0</v>
      </c>
      <c r="B34" s="20" t="s">
        <v>853</v>
      </c>
      <c r="C34" s="20" t="s">
        <v>855</v>
      </c>
      <c r="D34" s="43" t="s">
        <v>84</v>
      </c>
      <c r="E34" s="21"/>
    </row>
    <row r="35" ht="35.25" customHeight="1">
      <c r="A35" s="11">
        <v>27.0</v>
      </c>
      <c r="B35" s="13" t="s">
        <v>859</v>
      </c>
      <c r="C35" s="13" t="s">
        <v>860</v>
      </c>
      <c r="D35" s="43" t="s">
        <v>712</v>
      </c>
      <c r="E35" s="44" t="s">
        <v>862</v>
      </c>
    </row>
    <row r="36" ht="15.75" customHeight="1">
      <c r="A36" s="19">
        <v>28.0</v>
      </c>
      <c r="B36" s="20" t="s">
        <v>866</v>
      </c>
      <c r="C36" s="20" t="s">
        <v>869</v>
      </c>
      <c r="D36" s="43" t="s">
        <v>84</v>
      </c>
      <c r="E36" s="21"/>
    </row>
    <row r="37" ht="26.25" customHeight="1">
      <c r="A37" s="11">
        <v>29.0</v>
      </c>
      <c r="B37" s="13" t="s">
        <v>870</v>
      </c>
      <c r="C37" s="13" t="s">
        <v>872</v>
      </c>
      <c r="D37" s="16"/>
      <c r="E37" s="17"/>
    </row>
    <row r="38" ht="18.75" customHeight="1">
      <c r="A38" s="7" t="s">
        <v>876</v>
      </c>
      <c r="B38" s="8"/>
      <c r="C38" s="8"/>
      <c r="D38" s="8"/>
      <c r="E38" s="10"/>
    </row>
    <row r="39" ht="15.75" customHeight="1">
      <c r="A39" s="19">
        <v>30.0</v>
      </c>
      <c r="B39" s="20" t="s">
        <v>879</v>
      </c>
      <c r="C39" s="20" t="s">
        <v>880</v>
      </c>
      <c r="D39" s="43" t="s">
        <v>86</v>
      </c>
      <c r="E39" s="45" t="s">
        <v>883</v>
      </c>
    </row>
    <row r="40" ht="15.75" customHeight="1">
      <c r="A40" s="11">
        <v>31.0</v>
      </c>
      <c r="B40" s="13" t="s">
        <v>885</v>
      </c>
      <c r="C40" s="13" t="s">
        <v>886</v>
      </c>
      <c r="D40" s="43" t="s">
        <v>86</v>
      </c>
      <c r="E40" s="44" t="s">
        <v>883</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E2"/>
    <mergeCell ref="A5:E5"/>
    <mergeCell ref="A11:E11"/>
    <mergeCell ref="A16:E16"/>
    <mergeCell ref="A21:E21"/>
    <mergeCell ref="A29:E29"/>
    <mergeCell ref="A33:E33"/>
    <mergeCell ref="A38:E38"/>
  </mergeCells>
  <conditionalFormatting sqref="D2:D40">
    <cfRule type="cellIs" dxfId="0" priority="1" operator="equal">
      <formula>"Pass"</formula>
    </cfRule>
  </conditionalFormatting>
  <conditionalFormatting sqref="D2:D40">
    <cfRule type="cellIs" dxfId="1" priority="2" operator="equal">
      <formula>"Fail"</formula>
    </cfRule>
  </conditionalFormatting>
  <conditionalFormatting sqref="D2:D40">
    <cfRule type="cellIs" dxfId="2" priority="3" operator="equal">
      <formula>"Blocked"</formula>
    </cfRule>
  </conditionalFormatting>
  <conditionalFormatting sqref="D2:D40">
    <cfRule type="cellIs" dxfId="3" priority="4" operator="equal">
      <formula>"N/A"</formula>
    </cfRule>
  </conditionalFormatting>
  <dataValidations>
    <dataValidation type="list" allowBlank="1" showInputMessage="1" showErrorMessage="1" prompt="Please choose Pass, Fail, Blocked or N/A." sqref="D3:D4 D6:D10 D12:D15 D17:D20 D22:D28 D30:D32 D34:D37 D39:D40">
      <formula1>"Pass,Fail,Blocked,N/A"</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682</v>
      </c>
      <c r="B2" s="8"/>
      <c r="C2" s="8"/>
      <c r="D2" s="8"/>
      <c r="E2" s="10"/>
    </row>
    <row r="3">
      <c r="A3" s="11">
        <v>1.0</v>
      </c>
      <c r="B3" s="13" t="s">
        <v>686</v>
      </c>
      <c r="C3" s="13" t="s">
        <v>688</v>
      </c>
      <c r="D3" s="43" t="s">
        <v>84</v>
      </c>
      <c r="E3" s="17"/>
    </row>
    <row r="4" ht="18.75" customHeight="1">
      <c r="A4" s="7" t="s">
        <v>694</v>
      </c>
      <c r="B4" s="8"/>
      <c r="C4" s="8"/>
      <c r="D4" s="8"/>
      <c r="E4" s="10"/>
    </row>
    <row r="5">
      <c r="A5" s="19">
        <v>2.0</v>
      </c>
      <c r="B5" s="20" t="s">
        <v>700</v>
      </c>
      <c r="C5" s="20" t="s">
        <v>701</v>
      </c>
      <c r="D5" s="43" t="s">
        <v>84</v>
      </c>
      <c r="E5" s="21"/>
    </row>
    <row r="6">
      <c r="A6" s="11">
        <v>3.0</v>
      </c>
      <c r="B6" s="13" t="s">
        <v>707</v>
      </c>
      <c r="C6" s="13" t="s">
        <v>709</v>
      </c>
      <c r="D6" s="43" t="s">
        <v>712</v>
      </c>
      <c r="E6" s="44" t="s">
        <v>713</v>
      </c>
    </row>
    <row r="7">
      <c r="A7" s="19">
        <v>4.0</v>
      </c>
      <c r="B7" s="20" t="s">
        <v>717</v>
      </c>
      <c r="C7" s="20" t="s">
        <v>719</v>
      </c>
      <c r="D7" s="43" t="s">
        <v>85</v>
      </c>
      <c r="E7" s="45" t="s">
        <v>721</v>
      </c>
    </row>
    <row r="8">
      <c r="A8" s="11">
        <v>5.0</v>
      </c>
      <c r="B8" s="13" t="s">
        <v>724</v>
      </c>
      <c r="C8" s="13" t="s">
        <v>726</v>
      </c>
      <c r="D8" s="43" t="s">
        <v>84</v>
      </c>
      <c r="E8" s="17"/>
    </row>
    <row r="9">
      <c r="A9" s="19">
        <v>6.0</v>
      </c>
      <c r="B9" s="20" t="s">
        <v>732</v>
      </c>
      <c r="C9" s="20" t="s">
        <v>733</v>
      </c>
      <c r="D9" s="43" t="s">
        <v>84</v>
      </c>
      <c r="E9" s="21"/>
    </row>
    <row r="10">
      <c r="A10" s="11">
        <v>7.0</v>
      </c>
      <c r="B10" s="13" t="s">
        <v>739</v>
      </c>
      <c r="C10" s="13" t="s">
        <v>741</v>
      </c>
      <c r="D10" s="43" t="s">
        <v>86</v>
      </c>
      <c r="E10" s="44" t="s">
        <v>742</v>
      </c>
    </row>
    <row r="11" ht="18.75" customHeight="1">
      <c r="A11" s="7" t="s">
        <v>745</v>
      </c>
      <c r="B11" s="8"/>
      <c r="C11" s="8"/>
      <c r="D11" s="8"/>
      <c r="E11" s="10"/>
    </row>
    <row r="12">
      <c r="A12" s="19">
        <v>8.0</v>
      </c>
      <c r="B12" s="20" t="s">
        <v>751</v>
      </c>
      <c r="C12" s="20" t="s">
        <v>752</v>
      </c>
      <c r="D12" s="43" t="s">
        <v>84</v>
      </c>
      <c r="E12" s="21"/>
    </row>
    <row r="13">
      <c r="A13" s="11">
        <v>9.0</v>
      </c>
      <c r="B13" s="13" t="s">
        <v>756</v>
      </c>
      <c r="C13" s="13" t="s">
        <v>757</v>
      </c>
      <c r="D13" s="43" t="s">
        <v>85</v>
      </c>
      <c r="E13" s="44" t="s">
        <v>761</v>
      </c>
    </row>
    <row r="14">
      <c r="A14" s="19">
        <v>10.0</v>
      </c>
      <c r="B14" s="20" t="s">
        <v>763</v>
      </c>
      <c r="C14" s="20" t="s">
        <v>764</v>
      </c>
      <c r="D14" s="43" t="s">
        <v>84</v>
      </c>
      <c r="E14" s="21"/>
    </row>
    <row r="15">
      <c r="A15" s="11">
        <v>11.0</v>
      </c>
      <c r="B15" s="13" t="s">
        <v>771</v>
      </c>
      <c r="C15" s="13" t="s">
        <v>772</v>
      </c>
      <c r="D15" s="43" t="s">
        <v>84</v>
      </c>
      <c r="E15" s="17"/>
    </row>
    <row r="16">
      <c r="A16" s="19">
        <v>12.0</v>
      </c>
      <c r="B16" s="20" t="s">
        <v>775</v>
      </c>
      <c r="C16" s="20" t="s">
        <v>777</v>
      </c>
      <c r="D16" s="43"/>
      <c r="E16" s="21"/>
    </row>
    <row r="17">
      <c r="A17" s="11">
        <v>13.0</v>
      </c>
      <c r="B17" s="13" t="s">
        <v>780</v>
      </c>
      <c r="C17" s="13" t="s">
        <v>781</v>
      </c>
      <c r="D17" s="43" t="s">
        <v>84</v>
      </c>
      <c r="E17" s="44" t="s">
        <v>784</v>
      </c>
    </row>
    <row r="18">
      <c r="A18" s="19">
        <v>14.0</v>
      </c>
      <c r="B18" s="20" t="s">
        <v>788</v>
      </c>
      <c r="C18" s="20" t="s">
        <v>790</v>
      </c>
      <c r="D18" s="43" t="s">
        <v>86</v>
      </c>
      <c r="E18" s="44" t="s">
        <v>784</v>
      </c>
    </row>
    <row r="19" ht="18.75" customHeight="1">
      <c r="A19" s="7" t="s">
        <v>795</v>
      </c>
      <c r="B19" s="8"/>
      <c r="C19" s="8"/>
      <c r="D19" s="8"/>
      <c r="E19" s="10"/>
    </row>
    <row r="20">
      <c r="A20" s="11">
        <v>15.0</v>
      </c>
      <c r="B20" s="13" t="s">
        <v>802</v>
      </c>
      <c r="C20" s="13" t="s">
        <v>803</v>
      </c>
      <c r="D20" s="43" t="s">
        <v>84</v>
      </c>
      <c r="E20" s="17"/>
    </row>
    <row r="21">
      <c r="A21" s="19">
        <v>16.0</v>
      </c>
      <c r="B21" s="20" t="s">
        <v>810</v>
      </c>
      <c r="C21" s="20" t="s">
        <v>813</v>
      </c>
      <c r="D21" s="43" t="s">
        <v>815</v>
      </c>
      <c r="E21" s="45" t="s">
        <v>818</v>
      </c>
    </row>
    <row r="22" ht="15.75" customHeight="1">
      <c r="A22" s="11">
        <v>17.0</v>
      </c>
      <c r="B22" s="13" t="s">
        <v>822</v>
      </c>
      <c r="C22" s="13" t="s">
        <v>824</v>
      </c>
      <c r="D22" s="43" t="s">
        <v>84</v>
      </c>
      <c r="E22" s="17"/>
    </row>
    <row r="23" ht="18.75" customHeight="1">
      <c r="A23" s="7" t="s">
        <v>832</v>
      </c>
      <c r="B23" s="8"/>
      <c r="C23" s="8"/>
      <c r="D23" s="8"/>
      <c r="E23" s="10"/>
    </row>
    <row r="24">
      <c r="A24" s="19">
        <v>18.0</v>
      </c>
      <c r="B24" s="20" t="s">
        <v>838</v>
      </c>
      <c r="C24" s="20" t="s">
        <v>840</v>
      </c>
      <c r="D24" s="43" t="s">
        <v>86</v>
      </c>
      <c r="E24" s="44" t="s">
        <v>742</v>
      </c>
    </row>
    <row r="25">
      <c r="A25" s="11">
        <v>19.0</v>
      </c>
      <c r="B25" s="13" t="s">
        <v>847</v>
      </c>
      <c r="C25" s="13" t="s">
        <v>850</v>
      </c>
      <c r="D25" s="43" t="s">
        <v>86</v>
      </c>
      <c r="E25" s="44" t="s">
        <v>742</v>
      </c>
    </row>
    <row r="26">
      <c r="A26" s="19">
        <v>20.0</v>
      </c>
      <c r="B26" s="20" t="s">
        <v>856</v>
      </c>
      <c r="C26" s="20" t="s">
        <v>858</v>
      </c>
      <c r="D26" s="43" t="s">
        <v>86</v>
      </c>
      <c r="E26" s="44" t="s">
        <v>742</v>
      </c>
    </row>
    <row r="27">
      <c r="A27" s="11">
        <v>21.0</v>
      </c>
      <c r="B27" s="13" t="s">
        <v>865</v>
      </c>
      <c r="C27" s="13" t="s">
        <v>868</v>
      </c>
      <c r="D27" s="43" t="s">
        <v>86</v>
      </c>
      <c r="E27" s="44" t="s">
        <v>742</v>
      </c>
    </row>
    <row r="28">
      <c r="A28" s="19">
        <v>22.0</v>
      </c>
      <c r="B28" s="20" t="s">
        <v>873</v>
      </c>
      <c r="C28" s="20" t="s">
        <v>875</v>
      </c>
      <c r="D28" s="43" t="s">
        <v>86</v>
      </c>
      <c r="E28" s="44" t="s">
        <v>742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E2"/>
    <mergeCell ref="A4:E4"/>
    <mergeCell ref="A11:E11"/>
    <mergeCell ref="A19:E19"/>
    <mergeCell ref="A23:E23"/>
  </mergeCells>
  <conditionalFormatting sqref="D2:D28">
    <cfRule type="cellIs" dxfId="0" priority="1" operator="equal">
      <formula>"Pass"</formula>
    </cfRule>
  </conditionalFormatting>
  <conditionalFormatting sqref="D2:D28">
    <cfRule type="cellIs" dxfId="1" priority="2" operator="equal">
      <formula>"Fail"</formula>
    </cfRule>
  </conditionalFormatting>
  <conditionalFormatting sqref="D2:D28">
    <cfRule type="cellIs" dxfId="2" priority="3" operator="equal">
      <formula>"Blocked"</formula>
    </cfRule>
  </conditionalFormatting>
  <conditionalFormatting sqref="D2:D28">
    <cfRule type="cellIs" dxfId="3" priority="4" operator="equal">
      <formula>"N/A"</formula>
    </cfRule>
  </conditionalFormatting>
  <dataValidations>
    <dataValidation type="list" allowBlank="1" showInputMessage="1" showErrorMessage="1" prompt="Click and enter a value from the list of items" sqref="D3 D5:D10 D12:D18 D20:D22 D24:D28">
      <formula1>"Pass,Fail,Blocked,N/A,Partial"</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909</v>
      </c>
      <c r="B2" s="8"/>
      <c r="C2" s="8"/>
      <c r="D2" s="8"/>
      <c r="E2" s="10"/>
    </row>
    <row r="3">
      <c r="A3" s="11">
        <v>1.0</v>
      </c>
      <c r="B3" s="13" t="s">
        <v>910</v>
      </c>
      <c r="C3" s="13" t="s">
        <v>911</v>
      </c>
      <c r="D3" s="16"/>
      <c r="E3" s="17"/>
    </row>
    <row r="4">
      <c r="A4" s="19">
        <v>2.0</v>
      </c>
      <c r="B4" s="20" t="s">
        <v>912</v>
      </c>
      <c r="C4" s="20" t="s">
        <v>913</v>
      </c>
      <c r="D4" s="16"/>
      <c r="E4" s="21"/>
    </row>
    <row r="5">
      <c r="A5" s="11">
        <v>3.0</v>
      </c>
      <c r="B5" s="13" t="s">
        <v>915</v>
      </c>
      <c r="C5" s="13" t="s">
        <v>916</v>
      </c>
      <c r="D5" s="16"/>
      <c r="E5" s="17"/>
    </row>
    <row r="6">
      <c r="A6" s="19">
        <v>4.0</v>
      </c>
      <c r="B6" s="20" t="s">
        <v>918</v>
      </c>
      <c r="C6" s="20" t="s">
        <v>550</v>
      </c>
      <c r="D6" s="16"/>
      <c r="E6" s="21"/>
    </row>
    <row r="7">
      <c r="A7" s="11">
        <v>5.0</v>
      </c>
      <c r="B7" s="13" t="s">
        <v>920</v>
      </c>
      <c r="C7" s="13" t="s">
        <v>921</v>
      </c>
      <c r="D7" s="16"/>
      <c r="E7" s="17"/>
    </row>
    <row r="8" ht="18.75" customHeight="1">
      <c r="A8" s="7" t="s">
        <v>924</v>
      </c>
      <c r="B8" s="8"/>
      <c r="C8" s="8"/>
      <c r="D8" s="8"/>
      <c r="E8" s="10"/>
    </row>
    <row r="9">
      <c r="A9" s="19">
        <v>6.0</v>
      </c>
      <c r="B9" s="20" t="s">
        <v>926</v>
      </c>
      <c r="C9" s="20" t="s">
        <v>927</v>
      </c>
      <c r="D9" s="16"/>
      <c r="E9" s="21"/>
    </row>
    <row r="10">
      <c r="A10" s="11">
        <v>7.0</v>
      </c>
      <c r="B10" s="13" t="s">
        <v>930</v>
      </c>
      <c r="C10" s="13" t="s">
        <v>931</v>
      </c>
      <c r="D10" s="16"/>
      <c r="E10" s="17"/>
    </row>
    <row r="11" ht="18.75" customHeight="1">
      <c r="A11" s="7" t="s">
        <v>934</v>
      </c>
      <c r="B11" s="8"/>
      <c r="C11" s="8"/>
      <c r="D11" s="8"/>
      <c r="E11" s="10"/>
    </row>
    <row r="12">
      <c r="A12" s="19">
        <v>8.0</v>
      </c>
      <c r="B12" s="20" t="s">
        <v>936</v>
      </c>
      <c r="C12" s="20" t="s">
        <v>938</v>
      </c>
      <c r="D12" s="16"/>
      <c r="E12" s="21"/>
    </row>
    <row r="13">
      <c r="A13" s="11">
        <v>9.0</v>
      </c>
      <c r="B13" s="13" t="s">
        <v>939</v>
      </c>
      <c r="C13" s="13" t="s">
        <v>941</v>
      </c>
      <c r="D13" s="16"/>
      <c r="E13" s="17"/>
    </row>
    <row r="14">
      <c r="A14" s="19">
        <v>10.0</v>
      </c>
      <c r="B14" s="20" t="s">
        <v>944</v>
      </c>
      <c r="C14" s="20" t="s">
        <v>945</v>
      </c>
      <c r="D14" s="16"/>
      <c r="E14" s="21"/>
    </row>
    <row r="15">
      <c r="A15" s="11">
        <v>11.0</v>
      </c>
      <c r="B15" s="13" t="s">
        <v>948</v>
      </c>
      <c r="C15" s="13" t="s">
        <v>949</v>
      </c>
      <c r="D15" s="16"/>
      <c r="E15" s="17"/>
    </row>
    <row r="16">
      <c r="A16" s="19">
        <v>12.0</v>
      </c>
      <c r="B16" s="20" t="s">
        <v>951</v>
      </c>
      <c r="C16" s="20" t="s">
        <v>953</v>
      </c>
      <c r="D16" s="16"/>
      <c r="E16" s="21"/>
    </row>
    <row r="17" ht="18.75" customHeight="1">
      <c r="A17" s="7" t="s">
        <v>954</v>
      </c>
      <c r="B17" s="8"/>
      <c r="C17" s="8"/>
      <c r="D17" s="8"/>
      <c r="E17" s="10"/>
    </row>
    <row r="18">
      <c r="A18" s="11">
        <v>13.0</v>
      </c>
      <c r="B18" s="13" t="s">
        <v>957</v>
      </c>
      <c r="C18" s="13" t="s">
        <v>958</v>
      </c>
      <c r="D18" s="16"/>
      <c r="E18" s="17"/>
    </row>
    <row r="19" ht="18.75" customHeight="1">
      <c r="A19" s="7" t="s">
        <v>961</v>
      </c>
      <c r="B19" s="8"/>
      <c r="C19" s="8"/>
      <c r="D19" s="8"/>
      <c r="E19" s="10"/>
    </row>
    <row r="20">
      <c r="A20" s="19">
        <v>14.0</v>
      </c>
      <c r="B20" s="20" t="s">
        <v>962</v>
      </c>
      <c r="C20" s="20" t="s">
        <v>964</v>
      </c>
      <c r="D20" s="16"/>
      <c r="E20" s="21"/>
    </row>
    <row r="21" ht="15.75" customHeight="1">
      <c r="A21" s="11">
        <v>15.0</v>
      </c>
      <c r="B21" s="13" t="s">
        <v>967</v>
      </c>
      <c r="C21" s="13" t="s">
        <v>968</v>
      </c>
      <c r="D21" s="16"/>
      <c r="E21" s="17"/>
    </row>
    <row r="22" ht="15.75" customHeight="1">
      <c r="A22" s="19">
        <v>16.0</v>
      </c>
      <c r="B22" s="20" t="s">
        <v>971</v>
      </c>
      <c r="C22" s="20" t="s">
        <v>972</v>
      </c>
      <c r="D22" s="16"/>
      <c r="E22" s="21"/>
    </row>
    <row r="23" ht="15.75" customHeight="1">
      <c r="A23" s="11">
        <v>17.0</v>
      </c>
      <c r="B23" s="13" t="s">
        <v>974</v>
      </c>
      <c r="C23" s="13" t="s">
        <v>976</v>
      </c>
      <c r="D23" s="16"/>
      <c r="E23" s="17"/>
    </row>
    <row r="24" ht="18.75" customHeight="1">
      <c r="A24" s="7" t="s">
        <v>978</v>
      </c>
      <c r="B24" s="8"/>
      <c r="C24" s="8"/>
      <c r="D24" s="8"/>
      <c r="E24" s="10"/>
    </row>
    <row r="25" ht="15.75" customHeight="1">
      <c r="A25" s="19">
        <v>18.0</v>
      </c>
      <c r="B25" s="20" t="s">
        <v>981</v>
      </c>
      <c r="C25" s="20" t="s">
        <v>982</v>
      </c>
      <c r="D25" s="16"/>
      <c r="E25" s="21"/>
    </row>
    <row r="26" ht="15.75" customHeight="1">
      <c r="A26" s="11">
        <v>19.0</v>
      </c>
      <c r="B26" s="13" t="s">
        <v>985</v>
      </c>
      <c r="C26" s="13" t="s">
        <v>986</v>
      </c>
      <c r="D26" s="16"/>
      <c r="E26" s="17"/>
    </row>
    <row r="27" ht="15.75" customHeight="1">
      <c r="A27" s="19">
        <v>20.0</v>
      </c>
      <c r="B27" s="20" t="s">
        <v>989</v>
      </c>
      <c r="C27" s="20" t="s">
        <v>990</v>
      </c>
      <c r="D27" s="16"/>
      <c r="E27" s="21"/>
    </row>
    <row r="28" ht="18.75" customHeight="1">
      <c r="A28" s="7" t="s">
        <v>992</v>
      </c>
      <c r="B28" s="8"/>
      <c r="C28" s="8"/>
      <c r="D28" s="8"/>
      <c r="E28" s="10"/>
    </row>
    <row r="29" ht="15.75" customHeight="1">
      <c r="A29" s="11">
        <v>21.0</v>
      </c>
      <c r="B29" s="13" t="s">
        <v>995</v>
      </c>
      <c r="C29" s="13" t="s">
        <v>997</v>
      </c>
      <c r="D29" s="16"/>
      <c r="E29" s="17"/>
    </row>
    <row r="30" ht="15.75" customHeight="1">
      <c r="A30" s="19">
        <v>22.0</v>
      </c>
      <c r="B30" s="20" t="s">
        <v>999</v>
      </c>
      <c r="C30" s="20" t="s">
        <v>1001</v>
      </c>
      <c r="D30" s="16"/>
      <c r="E30" s="21"/>
    </row>
    <row r="31" ht="15.75" customHeight="1">
      <c r="A31" s="11">
        <v>23.0</v>
      </c>
      <c r="B31" s="13" t="s">
        <v>1002</v>
      </c>
      <c r="C31" s="13" t="s">
        <v>1004</v>
      </c>
      <c r="D31" s="16"/>
      <c r="E31" s="17"/>
    </row>
    <row r="32" ht="15.75" customHeight="1">
      <c r="A32" s="19">
        <v>24.0</v>
      </c>
      <c r="B32" s="20" t="s">
        <v>1007</v>
      </c>
      <c r="C32" s="20" t="s">
        <v>1009</v>
      </c>
      <c r="D32" s="16"/>
      <c r="E32" s="21"/>
    </row>
    <row r="33" ht="15.75" customHeight="1">
      <c r="A33" s="11">
        <v>25.0</v>
      </c>
      <c r="B33" s="13" t="s">
        <v>1011</v>
      </c>
      <c r="C33" s="13" t="s">
        <v>1012</v>
      </c>
      <c r="D33" s="16"/>
      <c r="E33" s="17"/>
    </row>
    <row r="34" ht="15.75" customHeight="1">
      <c r="A34" s="19">
        <v>26.0</v>
      </c>
      <c r="B34" s="20" t="s">
        <v>1013</v>
      </c>
      <c r="C34" s="20" t="s">
        <v>1014</v>
      </c>
      <c r="D34" s="16"/>
      <c r="E34" s="2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E2"/>
    <mergeCell ref="A8:E8"/>
    <mergeCell ref="A11:E11"/>
    <mergeCell ref="A17:E17"/>
    <mergeCell ref="A19:E19"/>
    <mergeCell ref="A24:E24"/>
    <mergeCell ref="A28:E28"/>
  </mergeCells>
  <conditionalFormatting sqref="D2:D34">
    <cfRule type="cellIs" dxfId="0" priority="1" operator="equal">
      <formula>"Pass"</formula>
    </cfRule>
  </conditionalFormatting>
  <conditionalFormatting sqref="D2:D34">
    <cfRule type="cellIs" dxfId="1" priority="2" operator="equal">
      <formula>"Fail"</formula>
    </cfRule>
  </conditionalFormatting>
  <conditionalFormatting sqref="D2:D34">
    <cfRule type="cellIs" dxfId="2" priority="3" operator="equal">
      <formula>"Blocked"</formula>
    </cfRule>
  </conditionalFormatting>
  <conditionalFormatting sqref="D2:D34">
    <cfRule type="cellIs" dxfId="3" priority="4" operator="equal">
      <formula>"N/A"</formula>
    </cfRule>
  </conditionalFormatting>
  <dataValidations>
    <dataValidation type="list" allowBlank="1" showInputMessage="1" showErrorMessage="1" prompt="Please choose Pass, Fail, Blocked or N/A." sqref="D3:D7 D9:D10 D12:D16 D18 D20:D23 D25:D27 D29:D34">
      <formula1>"Pass,Fail,Blocked,N/A"</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914</v>
      </c>
      <c r="B2" s="8"/>
      <c r="C2" s="8"/>
      <c r="D2" s="8"/>
      <c r="E2" s="10"/>
    </row>
    <row r="3">
      <c r="A3" s="11">
        <v>1.0</v>
      </c>
      <c r="B3" s="13" t="s">
        <v>917</v>
      </c>
      <c r="C3" s="13" t="s">
        <v>919</v>
      </c>
      <c r="D3" s="43" t="s">
        <v>84</v>
      </c>
      <c r="E3" s="17"/>
    </row>
    <row r="4">
      <c r="A4" s="19">
        <v>2.0</v>
      </c>
      <c r="B4" s="20" t="s">
        <v>922</v>
      </c>
      <c r="C4" s="20" t="s">
        <v>923</v>
      </c>
      <c r="D4" s="43" t="s">
        <v>84</v>
      </c>
      <c r="E4" s="21"/>
    </row>
    <row r="5" ht="18.75" customHeight="1">
      <c r="A5" s="7" t="s">
        <v>925</v>
      </c>
      <c r="B5" s="8"/>
      <c r="C5" s="8"/>
      <c r="D5" s="8"/>
      <c r="E5" s="10"/>
    </row>
    <row r="6">
      <c r="A6" s="11">
        <v>3.0</v>
      </c>
      <c r="B6" s="13" t="s">
        <v>928</v>
      </c>
      <c r="C6" s="13" t="s">
        <v>929</v>
      </c>
      <c r="D6" s="43" t="s">
        <v>84</v>
      </c>
      <c r="E6" s="17"/>
    </row>
    <row r="7">
      <c r="A7" s="19">
        <v>4.0</v>
      </c>
      <c r="B7" s="20" t="s">
        <v>932</v>
      </c>
      <c r="C7" s="20" t="s">
        <v>933</v>
      </c>
      <c r="D7" s="43" t="s">
        <v>84</v>
      </c>
      <c r="E7" s="21"/>
    </row>
    <row r="8">
      <c r="A8" s="11">
        <v>5.0</v>
      </c>
      <c r="B8" s="13" t="s">
        <v>935</v>
      </c>
      <c r="C8" s="13" t="s">
        <v>937</v>
      </c>
      <c r="D8" s="43" t="s">
        <v>84</v>
      </c>
      <c r="E8" s="17"/>
    </row>
    <row r="9">
      <c r="A9" s="19">
        <v>6.0</v>
      </c>
      <c r="B9" s="20" t="s">
        <v>940</v>
      </c>
      <c r="C9" s="20" t="s">
        <v>942</v>
      </c>
      <c r="D9" s="43" t="s">
        <v>84</v>
      </c>
      <c r="E9" s="21"/>
    </row>
    <row r="10" ht="18.75" customHeight="1">
      <c r="A10" s="7" t="s">
        <v>943</v>
      </c>
      <c r="B10" s="8"/>
      <c r="C10" s="8"/>
      <c r="D10" s="8"/>
      <c r="E10" s="10"/>
    </row>
    <row r="11">
      <c r="A11" s="11">
        <v>7.0</v>
      </c>
      <c r="B11" s="13" t="s">
        <v>946</v>
      </c>
      <c r="C11" s="13" t="s">
        <v>947</v>
      </c>
      <c r="D11" s="43" t="s">
        <v>84</v>
      </c>
      <c r="E11" s="17"/>
    </row>
    <row r="12">
      <c r="A12" s="19">
        <v>8.0</v>
      </c>
      <c r="B12" s="20" t="s">
        <v>950</v>
      </c>
      <c r="C12" s="20" t="s">
        <v>952</v>
      </c>
      <c r="D12" s="43" t="s">
        <v>84</v>
      </c>
      <c r="E12" s="21"/>
    </row>
    <row r="13">
      <c r="A13" s="11">
        <v>9.0</v>
      </c>
      <c r="B13" s="13" t="s">
        <v>955</v>
      </c>
      <c r="C13" s="13" t="s">
        <v>956</v>
      </c>
      <c r="D13" s="43" t="s">
        <v>84</v>
      </c>
      <c r="E13" s="17"/>
    </row>
    <row r="14">
      <c r="A14" s="19">
        <v>10.0</v>
      </c>
      <c r="B14" s="20" t="s">
        <v>959</v>
      </c>
      <c r="C14" s="20" t="s">
        <v>960</v>
      </c>
      <c r="D14" s="43" t="s">
        <v>84</v>
      </c>
      <c r="E14" s="21"/>
    </row>
    <row r="15">
      <c r="A15" s="11">
        <v>11.0</v>
      </c>
      <c r="B15" s="13" t="s">
        <v>963</v>
      </c>
      <c r="C15" s="13" t="s">
        <v>965</v>
      </c>
      <c r="D15" s="43" t="s">
        <v>85</v>
      </c>
      <c r="E15" s="44" t="s">
        <v>966</v>
      </c>
    </row>
    <row r="16">
      <c r="A16" s="19">
        <v>12.0</v>
      </c>
      <c r="B16" s="20" t="s">
        <v>969</v>
      </c>
      <c r="C16" s="20" t="s">
        <v>970</v>
      </c>
      <c r="D16" s="43" t="s">
        <v>84</v>
      </c>
      <c r="E16" s="21"/>
    </row>
    <row r="17" ht="18.75" customHeight="1">
      <c r="A17" s="7" t="s">
        <v>973</v>
      </c>
      <c r="B17" s="8"/>
      <c r="C17" s="8"/>
      <c r="D17" s="8"/>
      <c r="E17" s="10"/>
    </row>
    <row r="18">
      <c r="A18" s="11">
        <v>13.0</v>
      </c>
      <c r="B18" s="13" t="s">
        <v>975</v>
      </c>
      <c r="C18" s="13" t="s">
        <v>977</v>
      </c>
      <c r="D18" s="43" t="s">
        <v>84</v>
      </c>
      <c r="E18" s="17"/>
    </row>
    <row r="19">
      <c r="A19" s="19">
        <v>14.0</v>
      </c>
      <c r="B19" s="20" t="s">
        <v>979</v>
      </c>
      <c r="C19" s="20" t="s">
        <v>980</v>
      </c>
      <c r="D19" s="16"/>
      <c r="E19" s="21"/>
    </row>
    <row r="20">
      <c r="A20" s="11">
        <v>15.0</v>
      </c>
      <c r="B20" s="13" t="s">
        <v>983</v>
      </c>
      <c r="C20" s="13" t="s">
        <v>984</v>
      </c>
      <c r="D20" s="43" t="s">
        <v>84</v>
      </c>
      <c r="E20" s="17"/>
    </row>
    <row r="21">
      <c r="A21" s="19">
        <v>16.0</v>
      </c>
      <c r="B21" s="20" t="s">
        <v>987</v>
      </c>
      <c r="C21" s="20" t="s">
        <v>988</v>
      </c>
      <c r="D21" s="43" t="s">
        <v>84</v>
      </c>
      <c r="E21" s="21"/>
    </row>
    <row r="22" ht="15.75" customHeight="1">
      <c r="A22" s="11">
        <v>17.0</v>
      </c>
      <c r="B22" s="13" t="s">
        <v>991</v>
      </c>
      <c r="C22" s="13" t="s">
        <v>993</v>
      </c>
      <c r="D22" s="43" t="s">
        <v>84</v>
      </c>
      <c r="E22" s="44" t="s">
        <v>994</v>
      </c>
    </row>
    <row r="23" ht="18.75" customHeight="1">
      <c r="A23" s="7" t="s">
        <v>996</v>
      </c>
      <c r="B23" s="8"/>
      <c r="C23" s="8"/>
      <c r="D23" s="8"/>
      <c r="E23" s="10"/>
    </row>
    <row r="24" ht="15.75" customHeight="1">
      <c r="A24" s="19">
        <v>18.0</v>
      </c>
      <c r="B24" s="20" t="s">
        <v>998</v>
      </c>
      <c r="C24" s="20" t="s">
        <v>1000</v>
      </c>
      <c r="D24" s="43" t="s">
        <v>84</v>
      </c>
      <c r="E24" s="21"/>
    </row>
    <row r="25">
      <c r="A25" s="11">
        <v>19.0</v>
      </c>
      <c r="B25" s="13" t="s">
        <v>1003</v>
      </c>
      <c r="C25" s="13" t="s">
        <v>1005</v>
      </c>
      <c r="D25" s="43" t="s">
        <v>84</v>
      </c>
      <c r="E25" s="44" t="s">
        <v>1006</v>
      </c>
    </row>
    <row r="26">
      <c r="A26" s="19">
        <v>20.0</v>
      </c>
      <c r="B26" s="20" t="s">
        <v>1008</v>
      </c>
      <c r="C26" s="20" t="s">
        <v>1010</v>
      </c>
      <c r="D26" s="16"/>
      <c r="E26" s="21"/>
      <c r="J26" s="46"/>
    </row>
    <row r="27" ht="15.75" customHeight="1">
      <c r="A27" s="11">
        <v>21.0</v>
      </c>
      <c r="B27" s="13" t="s">
        <v>1015</v>
      </c>
      <c r="C27" s="13" t="s">
        <v>1016</v>
      </c>
      <c r="D27" s="43" t="s">
        <v>84</v>
      </c>
      <c r="E27" s="17"/>
    </row>
    <row r="28" ht="15.75" customHeight="1">
      <c r="A28" s="19">
        <v>22.0</v>
      </c>
      <c r="B28" s="20" t="s">
        <v>1017</v>
      </c>
      <c r="C28" s="20" t="s">
        <v>1018</v>
      </c>
      <c r="D28" s="43" t="s">
        <v>84</v>
      </c>
      <c r="E28" s="47" t="s">
        <v>1019</v>
      </c>
    </row>
    <row r="29" ht="18.75" customHeight="1">
      <c r="A29" s="7" t="s">
        <v>1021</v>
      </c>
      <c r="B29" s="8"/>
      <c r="C29" s="8"/>
      <c r="D29" s="8"/>
      <c r="E29" s="10"/>
    </row>
    <row r="30">
      <c r="A30" s="11">
        <v>23.0</v>
      </c>
      <c r="B30" s="13" t="s">
        <v>1022</v>
      </c>
      <c r="C30" s="13" t="s">
        <v>1023</v>
      </c>
      <c r="D30" s="43" t="s">
        <v>84</v>
      </c>
      <c r="E30" s="17"/>
    </row>
    <row r="31">
      <c r="A31" s="19">
        <v>24.0</v>
      </c>
      <c r="B31" s="20" t="s">
        <v>1026</v>
      </c>
      <c r="C31" s="20" t="s">
        <v>1027</v>
      </c>
      <c r="D31" s="43" t="s">
        <v>84</v>
      </c>
      <c r="E31" s="21"/>
    </row>
    <row r="32" ht="15.75" customHeight="1">
      <c r="A32" s="11">
        <v>25.0</v>
      </c>
      <c r="B32" s="13" t="s">
        <v>1028</v>
      </c>
      <c r="C32" s="13" t="s">
        <v>1030</v>
      </c>
      <c r="D32" s="43" t="s">
        <v>84</v>
      </c>
      <c r="E32" s="17"/>
    </row>
    <row r="33" ht="18.75" customHeight="1">
      <c r="A33" s="7" t="s">
        <v>1032</v>
      </c>
      <c r="B33" s="8"/>
      <c r="C33" s="8"/>
      <c r="D33" s="8"/>
      <c r="E33" s="10"/>
    </row>
    <row r="34">
      <c r="A34" s="19">
        <v>26.0</v>
      </c>
      <c r="B34" s="20" t="s">
        <v>1034</v>
      </c>
      <c r="C34" s="20" t="s">
        <v>1036</v>
      </c>
      <c r="D34" s="43" t="s">
        <v>84</v>
      </c>
      <c r="E34" s="47" t="s">
        <v>1037</v>
      </c>
    </row>
    <row r="35">
      <c r="A35" s="11">
        <v>27.0</v>
      </c>
      <c r="B35" s="13" t="s">
        <v>1038</v>
      </c>
      <c r="C35" s="13" t="s">
        <v>1039</v>
      </c>
      <c r="D35" s="16"/>
      <c r="E35" s="17"/>
    </row>
    <row r="36">
      <c r="A36" s="19">
        <v>28.0</v>
      </c>
      <c r="B36" s="20" t="s">
        <v>1043</v>
      </c>
      <c r="C36" s="20" t="s">
        <v>1045</v>
      </c>
      <c r="D36" s="16"/>
      <c r="E36" s="21"/>
    </row>
    <row r="37">
      <c r="A37" s="11">
        <v>29.0</v>
      </c>
      <c r="B37" s="13" t="s">
        <v>1046</v>
      </c>
      <c r="C37" s="13" t="s">
        <v>1048</v>
      </c>
      <c r="D37" s="16"/>
      <c r="E37" s="17"/>
    </row>
    <row r="38" ht="18.75" customHeight="1">
      <c r="A38" s="7" t="s">
        <v>1050</v>
      </c>
      <c r="B38" s="8"/>
      <c r="C38" s="8"/>
      <c r="D38" s="8"/>
      <c r="E38" s="10"/>
    </row>
    <row r="39">
      <c r="A39" s="19">
        <v>30.0</v>
      </c>
      <c r="B39" s="20" t="s">
        <v>1053</v>
      </c>
      <c r="C39" s="20" t="s">
        <v>1055</v>
      </c>
      <c r="D39" s="43" t="s">
        <v>85</v>
      </c>
      <c r="E39" s="45" t="s">
        <v>1058</v>
      </c>
    </row>
    <row r="40">
      <c r="A40" s="11">
        <v>31.0</v>
      </c>
      <c r="B40" s="13" t="s">
        <v>1059</v>
      </c>
      <c r="C40" s="13" t="s">
        <v>1061</v>
      </c>
      <c r="D40" s="43" t="s">
        <v>86</v>
      </c>
      <c r="E40" s="44" t="s">
        <v>1063</v>
      </c>
    </row>
    <row r="41" ht="15.75" customHeight="1">
      <c r="A41" s="19">
        <v>32.0</v>
      </c>
      <c r="B41" s="20" t="s">
        <v>1065</v>
      </c>
      <c r="C41" s="20" t="s">
        <v>1067</v>
      </c>
      <c r="D41" s="43" t="s">
        <v>86</v>
      </c>
      <c r="E41" s="45" t="s">
        <v>1068</v>
      </c>
    </row>
    <row r="42">
      <c r="A42" s="11">
        <v>33.0</v>
      </c>
      <c r="B42" s="13" t="s">
        <v>1071</v>
      </c>
      <c r="C42" s="13" t="s">
        <v>1072</v>
      </c>
      <c r="D42" s="43" t="s">
        <v>84</v>
      </c>
      <c r="E42" s="17"/>
    </row>
    <row r="43" ht="18.75" customHeight="1">
      <c r="A43" s="7" t="s">
        <v>1075</v>
      </c>
      <c r="B43" s="8"/>
      <c r="C43" s="8"/>
      <c r="D43" s="8"/>
      <c r="E43" s="10"/>
    </row>
    <row r="44">
      <c r="A44" s="19">
        <v>34.0</v>
      </c>
      <c r="B44" s="20" t="s">
        <v>1077</v>
      </c>
      <c r="C44" s="20" t="s">
        <v>1079</v>
      </c>
      <c r="D44" s="43" t="s">
        <v>86</v>
      </c>
      <c r="E44" s="45" t="s">
        <v>1063</v>
      </c>
    </row>
    <row r="45">
      <c r="A45" s="11">
        <v>35.0</v>
      </c>
      <c r="B45" s="13" t="s">
        <v>1083</v>
      </c>
      <c r="C45" s="13" t="s">
        <v>1084</v>
      </c>
      <c r="D45" s="43" t="s">
        <v>84</v>
      </c>
      <c r="E45" s="17"/>
    </row>
    <row r="46">
      <c r="A46" s="19">
        <v>36.0</v>
      </c>
      <c r="B46" s="20" t="s">
        <v>1086</v>
      </c>
      <c r="C46" s="20" t="s">
        <v>1087</v>
      </c>
      <c r="D46" s="16"/>
      <c r="E46" s="21"/>
    </row>
    <row r="47">
      <c r="A47" s="11">
        <v>37.0</v>
      </c>
      <c r="B47" s="13" t="s">
        <v>1091</v>
      </c>
      <c r="C47" s="13" t="s">
        <v>1093</v>
      </c>
      <c r="D47" s="43" t="s">
        <v>712</v>
      </c>
      <c r="E47" s="44" t="s">
        <v>1068</v>
      </c>
    </row>
    <row r="48">
      <c r="A48" s="19">
        <v>38.0</v>
      </c>
      <c r="B48" s="20" t="s">
        <v>1095</v>
      </c>
      <c r="C48" s="20" t="s">
        <v>1096</v>
      </c>
      <c r="D48" s="16"/>
      <c r="E48" s="21"/>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8:E38"/>
    <mergeCell ref="A43:E43"/>
    <mergeCell ref="A2:E2"/>
    <mergeCell ref="A5:E5"/>
    <mergeCell ref="A10:E10"/>
    <mergeCell ref="A17:E17"/>
    <mergeCell ref="A23:E23"/>
    <mergeCell ref="A29:E29"/>
    <mergeCell ref="A33:E33"/>
  </mergeCells>
  <conditionalFormatting sqref="D2:D48">
    <cfRule type="cellIs" dxfId="0" priority="1" operator="equal">
      <formula>"Pass"</formula>
    </cfRule>
  </conditionalFormatting>
  <conditionalFormatting sqref="D2:D48">
    <cfRule type="cellIs" dxfId="1" priority="2" operator="equal">
      <formula>"Fail"</formula>
    </cfRule>
  </conditionalFormatting>
  <conditionalFormatting sqref="D2:D48">
    <cfRule type="cellIs" dxfId="2" priority="3" operator="equal">
      <formula>"Blocked"</formula>
    </cfRule>
  </conditionalFormatting>
  <conditionalFormatting sqref="D2:D48">
    <cfRule type="cellIs" dxfId="3" priority="4" operator="equal">
      <formula>"N/A"</formula>
    </cfRule>
  </conditionalFormatting>
  <dataValidations>
    <dataValidation type="list" allowBlank="1" showInputMessage="1" showErrorMessage="1" prompt="Please choose Pass, Fail, Blocked or N/A." sqref="D3:D4 D6:D9 D11:D16 D18:D22 D24:D28 D30:D32 D34:D37 D39:D42 D44:D48">
      <formula1>"Pass,Fail,Blocked,N/A"</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1020</v>
      </c>
      <c r="B2" s="8"/>
      <c r="C2" s="8"/>
      <c r="D2" s="8"/>
      <c r="E2" s="10"/>
    </row>
    <row r="3">
      <c r="A3" s="11">
        <v>1.0</v>
      </c>
      <c r="B3" s="13" t="s">
        <v>1024</v>
      </c>
      <c r="C3" s="13" t="s">
        <v>1025</v>
      </c>
      <c r="D3" s="43" t="s">
        <v>84</v>
      </c>
      <c r="E3" s="17"/>
    </row>
    <row r="4">
      <c r="A4" s="19">
        <v>2.0</v>
      </c>
      <c r="B4" s="20" t="s">
        <v>1029</v>
      </c>
      <c r="C4" s="20" t="s">
        <v>1031</v>
      </c>
      <c r="D4" s="43" t="s">
        <v>84</v>
      </c>
      <c r="E4" s="21"/>
    </row>
    <row r="5" ht="18.75" customHeight="1">
      <c r="A5" s="7" t="s">
        <v>1033</v>
      </c>
      <c r="B5" s="8"/>
      <c r="C5" s="8"/>
      <c r="D5" s="8"/>
      <c r="E5" s="10"/>
    </row>
    <row r="6">
      <c r="A6" s="11">
        <v>3.0</v>
      </c>
      <c r="B6" s="13" t="s">
        <v>1040</v>
      </c>
      <c r="C6" s="13" t="s">
        <v>1041</v>
      </c>
      <c r="D6" s="43" t="s">
        <v>84</v>
      </c>
      <c r="E6" s="17"/>
    </row>
    <row r="7">
      <c r="A7" s="19">
        <v>4.0</v>
      </c>
      <c r="B7" s="20" t="s">
        <v>1047</v>
      </c>
      <c r="C7" s="20" t="s">
        <v>1049</v>
      </c>
      <c r="D7" s="43" t="s">
        <v>84</v>
      </c>
      <c r="E7" s="21"/>
    </row>
    <row r="8">
      <c r="A8" s="11">
        <v>5.0</v>
      </c>
      <c r="B8" s="13" t="s">
        <v>1054</v>
      </c>
      <c r="C8" s="13" t="s">
        <v>1057</v>
      </c>
      <c r="D8" s="43" t="s">
        <v>84</v>
      </c>
      <c r="E8" s="17"/>
    </row>
    <row r="9">
      <c r="A9" s="19">
        <v>6.0</v>
      </c>
      <c r="B9" s="20" t="s">
        <v>1064</v>
      </c>
      <c r="C9" s="20" t="s">
        <v>1066</v>
      </c>
      <c r="D9" s="16"/>
      <c r="E9" s="21"/>
    </row>
    <row r="10">
      <c r="A10" s="11">
        <v>7.0</v>
      </c>
      <c r="B10" s="13" t="s">
        <v>1073</v>
      </c>
      <c r="C10" s="13" t="s">
        <v>1074</v>
      </c>
      <c r="D10" s="43" t="s">
        <v>84</v>
      </c>
      <c r="E10" s="17"/>
    </row>
    <row r="11">
      <c r="A11" s="19">
        <v>8.0</v>
      </c>
      <c r="B11" s="20" t="s">
        <v>1080</v>
      </c>
      <c r="C11" s="20" t="s">
        <v>1081</v>
      </c>
      <c r="D11" s="43" t="s">
        <v>84</v>
      </c>
      <c r="E11" s="21"/>
    </row>
    <row r="12" ht="18.75" customHeight="1">
      <c r="A12" s="7" t="s">
        <v>1085</v>
      </c>
      <c r="B12" s="8"/>
      <c r="C12" s="8"/>
      <c r="D12" s="8"/>
      <c r="E12" s="10"/>
    </row>
    <row r="13">
      <c r="A13" s="11">
        <v>9.0</v>
      </c>
      <c r="B13" s="13" t="s">
        <v>1090</v>
      </c>
      <c r="C13" s="13" t="s">
        <v>1092</v>
      </c>
      <c r="D13" s="16"/>
      <c r="E13" s="17"/>
    </row>
    <row r="14">
      <c r="A14" s="19">
        <v>10.0</v>
      </c>
      <c r="B14" s="20" t="s">
        <v>1098</v>
      </c>
      <c r="C14" s="20" t="s">
        <v>1099</v>
      </c>
      <c r="D14" s="16"/>
      <c r="E14" s="21"/>
    </row>
    <row r="15">
      <c r="A15" s="11">
        <v>11.0</v>
      </c>
      <c r="B15" s="13" t="s">
        <v>1102</v>
      </c>
      <c r="C15" s="13" t="s">
        <v>1103</v>
      </c>
      <c r="D15" s="16"/>
      <c r="E15" s="17"/>
    </row>
    <row r="16" ht="18.75" customHeight="1">
      <c r="A16" s="7" t="s">
        <v>1105</v>
      </c>
      <c r="B16" s="8"/>
      <c r="C16" s="8"/>
      <c r="D16" s="8"/>
      <c r="E16" s="10"/>
    </row>
    <row r="17">
      <c r="A17" s="19">
        <v>12.0</v>
      </c>
      <c r="B17" s="20" t="s">
        <v>1108</v>
      </c>
      <c r="C17" s="20" t="s">
        <v>1109</v>
      </c>
      <c r="D17" s="16"/>
      <c r="E17" s="21"/>
    </row>
    <row r="18">
      <c r="A18" s="11">
        <v>13.0</v>
      </c>
      <c r="B18" s="13" t="s">
        <v>1112</v>
      </c>
      <c r="C18" s="13" t="s">
        <v>1113</v>
      </c>
      <c r="D18" s="16"/>
      <c r="E18" s="17"/>
    </row>
    <row r="19">
      <c r="A19" s="19">
        <v>14.0</v>
      </c>
      <c r="B19" s="20" t="s">
        <v>1116</v>
      </c>
      <c r="C19" s="20" t="s">
        <v>1118</v>
      </c>
      <c r="D19" s="16"/>
      <c r="E19" s="21"/>
    </row>
    <row r="20" ht="18.75" customHeight="1">
      <c r="A20" s="7" t="s">
        <v>1120</v>
      </c>
      <c r="B20" s="8"/>
      <c r="C20" s="8"/>
      <c r="D20" s="8"/>
      <c r="E20" s="10"/>
    </row>
    <row r="21" ht="15.75" customHeight="1">
      <c r="A21" s="11">
        <v>15.0</v>
      </c>
      <c r="B21" s="13" t="s">
        <v>1123</v>
      </c>
      <c r="C21" s="13" t="s">
        <v>1124</v>
      </c>
      <c r="D21" s="43" t="s">
        <v>86</v>
      </c>
      <c r="E21" s="44" t="s">
        <v>1125</v>
      </c>
    </row>
    <row r="22" ht="26.25" customHeight="1">
      <c r="A22" s="19">
        <v>16.0</v>
      </c>
      <c r="B22" s="20" t="s">
        <v>1128</v>
      </c>
      <c r="C22" s="20" t="s">
        <v>1130</v>
      </c>
      <c r="D22" s="16"/>
      <c r="E22" s="21"/>
    </row>
    <row r="23" ht="18.75" customHeight="1">
      <c r="A23" s="7" t="s">
        <v>1134</v>
      </c>
      <c r="B23" s="8"/>
      <c r="C23" s="8"/>
      <c r="D23" s="8"/>
      <c r="E23" s="10"/>
    </row>
    <row r="24" ht="31.5" customHeight="1">
      <c r="A24" s="11">
        <v>17.0</v>
      </c>
      <c r="B24" s="13" t="s">
        <v>1140</v>
      </c>
      <c r="C24" s="13" t="s">
        <v>1141</v>
      </c>
      <c r="D24" s="16"/>
      <c r="E24" s="17"/>
    </row>
    <row r="25" ht="21.75" customHeight="1">
      <c r="A25" s="19">
        <v>18.0</v>
      </c>
      <c r="B25" s="20" t="s">
        <v>1149</v>
      </c>
      <c r="C25" s="20" t="s">
        <v>1150</v>
      </c>
      <c r="D25" s="16"/>
      <c r="E25" s="21"/>
    </row>
    <row r="26" ht="22.5" customHeight="1">
      <c r="A26" s="11">
        <v>19.0</v>
      </c>
      <c r="B26" s="13" t="s">
        <v>1158</v>
      </c>
      <c r="C26" s="13" t="s">
        <v>1160</v>
      </c>
      <c r="D26" s="16"/>
      <c r="E26" s="17"/>
    </row>
    <row r="27" ht="21.75" customHeight="1">
      <c r="A27" s="19">
        <v>20.0</v>
      </c>
      <c r="B27" s="20" t="s">
        <v>1168</v>
      </c>
      <c r="C27" s="20" t="s">
        <v>1169</v>
      </c>
      <c r="D27" s="16"/>
      <c r="E27" s="21"/>
    </row>
    <row r="28" ht="29.25" customHeight="1">
      <c r="A28" s="11">
        <v>21.0</v>
      </c>
      <c r="B28" s="13" t="s">
        <v>1172</v>
      </c>
      <c r="C28" s="13" t="s">
        <v>1174</v>
      </c>
      <c r="D28" s="16"/>
      <c r="E28" s="17"/>
    </row>
    <row r="29" ht="23.25" customHeight="1">
      <c r="A29" s="19">
        <v>22.0</v>
      </c>
      <c r="B29" s="20" t="s">
        <v>1178</v>
      </c>
      <c r="C29" s="20" t="s">
        <v>1180</v>
      </c>
      <c r="D29" s="16"/>
      <c r="E29" s="21"/>
    </row>
    <row r="30" ht="18.75" customHeight="1">
      <c r="A30" s="7" t="s">
        <v>1183</v>
      </c>
      <c r="B30" s="8"/>
      <c r="C30" s="8"/>
      <c r="D30" s="8"/>
      <c r="E30" s="10"/>
    </row>
    <row r="31" ht="15.75" customHeight="1">
      <c r="A31" s="11">
        <v>23.0</v>
      </c>
      <c r="B31" s="13" t="s">
        <v>1187</v>
      </c>
      <c r="C31" s="13" t="s">
        <v>1188</v>
      </c>
      <c r="D31" s="16"/>
      <c r="E31" s="17"/>
    </row>
    <row r="32" ht="15.75" customHeight="1">
      <c r="A32" s="19">
        <v>24.0</v>
      </c>
      <c r="B32" s="20" t="s">
        <v>1192</v>
      </c>
      <c r="C32" s="20" t="s">
        <v>1193</v>
      </c>
      <c r="D32" s="16"/>
      <c r="E32" s="21"/>
    </row>
    <row r="33" ht="18.75" customHeight="1">
      <c r="A33" s="7" t="s">
        <v>1196</v>
      </c>
      <c r="B33" s="8"/>
      <c r="C33" s="8"/>
      <c r="D33" s="8"/>
      <c r="E33" s="10"/>
    </row>
    <row r="34" ht="15.75" customHeight="1">
      <c r="A34" s="11">
        <v>25.0</v>
      </c>
      <c r="B34" s="13" t="s">
        <v>1198</v>
      </c>
      <c r="C34" s="13" t="s">
        <v>1201</v>
      </c>
      <c r="D34" s="16"/>
      <c r="E34" s="17"/>
    </row>
    <row r="35" ht="15.75" customHeight="1">
      <c r="A35" s="19">
        <v>26.0</v>
      </c>
      <c r="B35" s="20" t="s">
        <v>1204</v>
      </c>
      <c r="C35" s="20" t="s">
        <v>1205</v>
      </c>
      <c r="D35" s="16"/>
      <c r="E35" s="21"/>
    </row>
    <row r="36" ht="15.75" customHeight="1">
      <c r="A36" s="11">
        <v>27.0</v>
      </c>
      <c r="B36" s="13" t="s">
        <v>1208</v>
      </c>
      <c r="C36" s="13" t="s">
        <v>1211</v>
      </c>
      <c r="D36" s="16"/>
      <c r="E36" s="17"/>
    </row>
    <row r="37" ht="15.75" customHeight="1">
      <c r="A37" s="19">
        <v>28.0</v>
      </c>
      <c r="B37" s="20" t="s">
        <v>1212</v>
      </c>
      <c r="C37" s="20" t="s">
        <v>1214</v>
      </c>
      <c r="D37" s="16"/>
      <c r="E37" s="21"/>
    </row>
    <row r="38" ht="15.75" customHeight="1">
      <c r="A38" s="11">
        <v>29.0</v>
      </c>
      <c r="B38" s="13" t="s">
        <v>1217</v>
      </c>
      <c r="C38" s="13" t="s">
        <v>1218</v>
      </c>
      <c r="D38" s="16"/>
      <c r="E38" s="17"/>
    </row>
    <row r="39" ht="18.75" customHeight="1">
      <c r="A39" s="7" t="s">
        <v>1221</v>
      </c>
      <c r="B39" s="8"/>
      <c r="C39" s="8"/>
      <c r="D39" s="8"/>
      <c r="E39" s="10"/>
    </row>
    <row r="40" ht="15.75" customHeight="1">
      <c r="A40" s="19">
        <v>30.0</v>
      </c>
      <c r="B40" s="20" t="s">
        <v>1224</v>
      </c>
      <c r="C40" s="20" t="s">
        <v>1227</v>
      </c>
      <c r="D40" s="16"/>
      <c r="E40" s="21"/>
    </row>
    <row r="41" ht="15.75" customHeight="1">
      <c r="A41" s="11">
        <v>31.0</v>
      </c>
      <c r="B41" s="13" t="s">
        <v>1231</v>
      </c>
      <c r="C41" s="13" t="s">
        <v>1232</v>
      </c>
      <c r="D41" s="16"/>
      <c r="E41" s="17"/>
    </row>
    <row r="42" ht="15.75" customHeight="1">
      <c r="A42" s="19">
        <v>32.0</v>
      </c>
      <c r="B42" s="20" t="s">
        <v>1238</v>
      </c>
      <c r="C42" s="20" t="s">
        <v>1239</v>
      </c>
      <c r="D42" s="16"/>
      <c r="E42" s="21"/>
    </row>
    <row r="43" ht="18.75" customHeight="1">
      <c r="A43" s="7" t="s">
        <v>1244</v>
      </c>
      <c r="B43" s="8"/>
      <c r="C43" s="8"/>
      <c r="D43" s="8"/>
      <c r="E43" s="10"/>
    </row>
    <row r="44" ht="15.75" customHeight="1">
      <c r="A44" s="11">
        <v>33.0</v>
      </c>
      <c r="B44" s="13" t="s">
        <v>1248</v>
      </c>
      <c r="C44" s="13" t="s">
        <v>1249</v>
      </c>
      <c r="D44" s="16"/>
      <c r="E44" s="17"/>
    </row>
    <row r="45" ht="15.75" customHeight="1">
      <c r="A45" s="19">
        <v>34.0</v>
      </c>
      <c r="B45" s="20" t="s">
        <v>1252</v>
      </c>
      <c r="C45" s="20" t="s">
        <v>1254</v>
      </c>
      <c r="D45" s="16"/>
      <c r="E45" s="21"/>
    </row>
    <row r="46" ht="15.75" customHeight="1">
      <c r="A46" s="11">
        <v>35.0</v>
      </c>
      <c r="B46" s="13" t="s">
        <v>1257</v>
      </c>
      <c r="C46" s="13" t="s">
        <v>1259</v>
      </c>
      <c r="D46" s="16"/>
      <c r="E46" s="17"/>
    </row>
    <row r="47" ht="15.75" customHeight="1">
      <c r="A47" s="19">
        <v>36.0</v>
      </c>
      <c r="B47" s="20" t="s">
        <v>1263</v>
      </c>
      <c r="C47" s="20" t="s">
        <v>1264</v>
      </c>
      <c r="D47" s="16"/>
      <c r="E47" s="21"/>
    </row>
    <row r="48" ht="15.75" customHeight="1">
      <c r="A48" s="11">
        <v>37.0</v>
      </c>
      <c r="B48" s="13" t="s">
        <v>1267</v>
      </c>
      <c r="C48" s="13" t="s">
        <v>1269</v>
      </c>
      <c r="D48" s="16"/>
      <c r="E48" s="17"/>
    </row>
    <row r="49" ht="18.75" customHeight="1">
      <c r="A49" s="7" t="s">
        <v>1272</v>
      </c>
      <c r="B49" s="8"/>
      <c r="C49" s="8"/>
      <c r="D49" s="8"/>
      <c r="E49" s="10"/>
    </row>
    <row r="50" ht="15.75" customHeight="1">
      <c r="A50" s="19">
        <v>38.0</v>
      </c>
      <c r="B50" s="20" t="s">
        <v>1274</v>
      </c>
      <c r="C50" s="20" t="s">
        <v>1277</v>
      </c>
      <c r="D50" s="16"/>
      <c r="E50" s="21"/>
    </row>
    <row r="51" ht="15.75" customHeight="1">
      <c r="A51" s="11">
        <v>39.0</v>
      </c>
      <c r="B51" s="13" t="s">
        <v>1280</v>
      </c>
      <c r="C51" s="13" t="s">
        <v>1281</v>
      </c>
      <c r="D51" s="16"/>
      <c r="E51" s="17"/>
    </row>
    <row r="52" ht="15.75" customHeight="1">
      <c r="A52" s="19">
        <v>40.0</v>
      </c>
      <c r="B52" s="20" t="s">
        <v>1284</v>
      </c>
      <c r="C52" s="20" t="s">
        <v>1286</v>
      </c>
      <c r="D52" s="16"/>
      <c r="E52" s="21"/>
    </row>
    <row r="53" ht="18.75" customHeight="1">
      <c r="A53" s="7" t="s">
        <v>1288</v>
      </c>
      <c r="B53" s="8"/>
      <c r="C53" s="8"/>
      <c r="D53" s="8"/>
      <c r="E53" s="10"/>
    </row>
    <row r="54" ht="15.75" customHeight="1">
      <c r="A54" s="11">
        <v>41.0</v>
      </c>
      <c r="B54" s="13" t="s">
        <v>1289</v>
      </c>
      <c r="C54" s="13" t="s">
        <v>1290</v>
      </c>
      <c r="D54" s="16"/>
      <c r="E54" s="17"/>
    </row>
    <row r="55" ht="15.75" customHeight="1">
      <c r="A55" s="19">
        <v>42.0</v>
      </c>
      <c r="B55" s="20" t="s">
        <v>1291</v>
      </c>
      <c r="C55" s="20" t="s">
        <v>1292</v>
      </c>
      <c r="D55" s="16"/>
      <c r="E55" s="21"/>
    </row>
    <row r="56" ht="15.75" customHeight="1">
      <c r="A56" s="11">
        <v>43.0</v>
      </c>
      <c r="B56" s="13" t="s">
        <v>1293</v>
      </c>
      <c r="C56" s="13" t="s">
        <v>1294</v>
      </c>
      <c r="D56" s="16"/>
      <c r="E56" s="17"/>
    </row>
    <row r="57" ht="15.75" customHeight="1">
      <c r="A57" s="19">
        <v>44.0</v>
      </c>
      <c r="B57" s="20" t="s">
        <v>1295</v>
      </c>
      <c r="C57" s="20" t="s">
        <v>1296</v>
      </c>
      <c r="D57" s="16"/>
      <c r="E57" s="21"/>
    </row>
    <row r="58" ht="15.75" customHeight="1">
      <c r="A58" s="11">
        <v>45.0</v>
      </c>
      <c r="B58" s="13" t="s">
        <v>1297</v>
      </c>
      <c r="C58" s="13" t="s">
        <v>1298</v>
      </c>
      <c r="D58" s="16"/>
      <c r="E58" s="17"/>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33:E33"/>
    <mergeCell ref="A39:E39"/>
    <mergeCell ref="A43:E43"/>
    <mergeCell ref="A49:E49"/>
    <mergeCell ref="A53:E53"/>
    <mergeCell ref="A2:E2"/>
    <mergeCell ref="A5:E5"/>
    <mergeCell ref="A12:E12"/>
    <mergeCell ref="A16:E16"/>
    <mergeCell ref="A20:E20"/>
    <mergeCell ref="A23:E23"/>
    <mergeCell ref="A30:E30"/>
  </mergeCells>
  <conditionalFormatting sqref="D2:D58">
    <cfRule type="cellIs" dxfId="0" priority="1" operator="equal">
      <formula>"Pass"</formula>
    </cfRule>
  </conditionalFormatting>
  <conditionalFormatting sqref="D2:D58">
    <cfRule type="cellIs" dxfId="1" priority="2" operator="equal">
      <formula>"Fail"</formula>
    </cfRule>
  </conditionalFormatting>
  <conditionalFormatting sqref="D2:D58">
    <cfRule type="cellIs" dxfId="2" priority="3" operator="equal">
      <formula>"Blocked"</formula>
    </cfRule>
  </conditionalFormatting>
  <conditionalFormatting sqref="D2:D58">
    <cfRule type="cellIs" dxfId="3" priority="4" operator="equal">
      <formula>"N/A"</formula>
    </cfRule>
  </conditionalFormatting>
  <dataValidations>
    <dataValidation type="list" allowBlank="1" showInputMessage="1" showErrorMessage="1" prompt="Please choose Pass, Fail, Blocked or N/A." sqref="D3:D4 D6:D11 D13:D15 D17:D19 D21:D22 D24:D29 D31:D32 D34:D38 D40:D42 D44:D48 D50:D52 D54:D58">
      <formula1>"Pass,Fail,Blocked,N/A"</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1035</v>
      </c>
      <c r="B2" s="8"/>
      <c r="C2" s="8"/>
      <c r="D2" s="8"/>
      <c r="E2" s="10"/>
    </row>
    <row r="3">
      <c r="A3" s="11">
        <v>1.0</v>
      </c>
      <c r="B3" s="13" t="s">
        <v>1042</v>
      </c>
      <c r="C3" s="13" t="s">
        <v>1044</v>
      </c>
      <c r="D3" s="43" t="s">
        <v>84</v>
      </c>
      <c r="E3" s="17"/>
    </row>
    <row r="4">
      <c r="A4" s="19">
        <v>2.0</v>
      </c>
      <c r="B4" s="20" t="s">
        <v>1051</v>
      </c>
      <c r="C4" s="20" t="s">
        <v>1052</v>
      </c>
      <c r="D4" s="43" t="s">
        <v>84</v>
      </c>
      <c r="E4" s="47" t="s">
        <v>1056</v>
      </c>
    </row>
    <row r="5">
      <c r="A5" s="11">
        <v>3.0</v>
      </c>
      <c r="B5" s="13" t="s">
        <v>1060</v>
      </c>
      <c r="C5" s="13" t="s">
        <v>1062</v>
      </c>
      <c r="D5" s="43" t="s">
        <v>84</v>
      </c>
      <c r="E5" s="17"/>
    </row>
    <row r="6">
      <c r="A6" s="19">
        <v>4.0</v>
      </c>
      <c r="B6" s="20" t="s">
        <v>1069</v>
      </c>
      <c r="C6" s="20" t="s">
        <v>1070</v>
      </c>
      <c r="D6" s="43" t="s">
        <v>84</v>
      </c>
      <c r="E6" s="21"/>
    </row>
    <row r="7">
      <c r="A7" s="11">
        <v>5.0</v>
      </c>
      <c r="B7" s="13" t="s">
        <v>1076</v>
      </c>
      <c r="C7" s="13" t="s">
        <v>1078</v>
      </c>
      <c r="D7" s="43" t="s">
        <v>84</v>
      </c>
      <c r="E7" s="17"/>
    </row>
    <row r="8" ht="18.75" customHeight="1">
      <c r="A8" s="7" t="s">
        <v>1082</v>
      </c>
      <c r="B8" s="8"/>
      <c r="C8" s="8"/>
      <c r="D8" s="8"/>
      <c r="E8" s="10"/>
    </row>
    <row r="9">
      <c r="A9" s="19">
        <v>6.0</v>
      </c>
      <c r="B9" s="20" t="s">
        <v>1088</v>
      </c>
      <c r="C9" s="20" t="s">
        <v>1089</v>
      </c>
      <c r="D9" s="43" t="s">
        <v>84</v>
      </c>
      <c r="E9" s="21"/>
    </row>
    <row r="10">
      <c r="A10" s="11">
        <v>7.0</v>
      </c>
      <c r="B10" s="13" t="s">
        <v>1094</v>
      </c>
      <c r="C10" s="13" t="s">
        <v>1097</v>
      </c>
      <c r="D10" s="43" t="s">
        <v>84</v>
      </c>
      <c r="E10" s="17"/>
    </row>
    <row r="11">
      <c r="A11" s="19">
        <v>8.0</v>
      </c>
      <c r="B11" s="20" t="s">
        <v>1100</v>
      </c>
      <c r="C11" s="20" t="s">
        <v>1101</v>
      </c>
      <c r="D11" s="16"/>
      <c r="E11" s="21"/>
    </row>
    <row r="12" ht="18.75" customHeight="1">
      <c r="A12" s="7" t="s">
        <v>1104</v>
      </c>
      <c r="B12" s="8"/>
      <c r="C12" s="8"/>
      <c r="D12" s="8"/>
      <c r="E12" s="10"/>
    </row>
    <row r="13">
      <c r="A13" s="11">
        <v>9.0</v>
      </c>
      <c r="B13" s="13" t="s">
        <v>1106</v>
      </c>
      <c r="C13" s="13" t="s">
        <v>1107</v>
      </c>
      <c r="D13" s="43" t="s">
        <v>84</v>
      </c>
      <c r="E13" s="17"/>
    </row>
    <row r="14">
      <c r="A14" s="19">
        <v>10.0</v>
      </c>
      <c r="B14" s="20" t="s">
        <v>1110</v>
      </c>
      <c r="C14" s="20" t="s">
        <v>1111</v>
      </c>
      <c r="D14" s="43" t="s">
        <v>84</v>
      </c>
      <c r="E14" s="21"/>
    </row>
    <row r="15">
      <c r="A15" s="11">
        <v>11.0</v>
      </c>
      <c r="B15" s="13" t="s">
        <v>1114</v>
      </c>
      <c r="C15" s="13" t="s">
        <v>1115</v>
      </c>
      <c r="D15" s="43" t="s">
        <v>85</v>
      </c>
      <c r="E15" s="44" t="s">
        <v>1117</v>
      </c>
    </row>
    <row r="16" ht="18.75" customHeight="1">
      <c r="A16" s="7" t="s">
        <v>1119</v>
      </c>
      <c r="B16" s="8"/>
      <c r="C16" s="8"/>
      <c r="D16" s="8"/>
      <c r="E16" s="10"/>
    </row>
    <row r="17">
      <c r="A17" s="19">
        <v>12.0</v>
      </c>
      <c r="B17" s="20" t="s">
        <v>1121</v>
      </c>
      <c r="C17" s="20" t="s">
        <v>1122</v>
      </c>
      <c r="D17" s="43" t="s">
        <v>84</v>
      </c>
      <c r="E17" s="21"/>
    </row>
    <row r="18">
      <c r="A18" s="11">
        <v>13.0</v>
      </c>
      <c r="B18" s="13" t="s">
        <v>1126</v>
      </c>
      <c r="C18" s="13" t="s">
        <v>1127</v>
      </c>
      <c r="D18" s="43" t="s">
        <v>84</v>
      </c>
      <c r="E18" s="17"/>
    </row>
    <row r="19">
      <c r="A19" s="19">
        <v>14.0</v>
      </c>
      <c r="B19" s="20" t="s">
        <v>1129</v>
      </c>
      <c r="C19" s="20" t="s">
        <v>1131</v>
      </c>
      <c r="D19" s="43" t="s">
        <v>85</v>
      </c>
      <c r="E19" s="45" t="s">
        <v>1133</v>
      </c>
    </row>
    <row r="20">
      <c r="A20" s="11">
        <v>15.0</v>
      </c>
      <c r="B20" s="13" t="s">
        <v>1137</v>
      </c>
      <c r="C20" s="13" t="s">
        <v>1138</v>
      </c>
      <c r="D20" s="43" t="s">
        <v>84</v>
      </c>
      <c r="E20" s="47" t="s">
        <v>1139</v>
      </c>
    </row>
    <row r="21">
      <c r="A21" s="19">
        <v>16.0</v>
      </c>
      <c r="B21" s="20" t="s">
        <v>1144</v>
      </c>
      <c r="C21" s="20" t="s">
        <v>1145</v>
      </c>
      <c r="D21" s="43" t="s">
        <v>85</v>
      </c>
      <c r="E21" s="45" t="s">
        <v>1148</v>
      </c>
    </row>
    <row r="22" ht="15.75" customHeight="1">
      <c r="A22" s="11">
        <v>17.0</v>
      </c>
      <c r="B22" s="13" t="s">
        <v>1151</v>
      </c>
      <c r="C22" s="13" t="s">
        <v>1154</v>
      </c>
      <c r="D22" s="43" t="s">
        <v>86</v>
      </c>
      <c r="E22" s="44" t="s">
        <v>1156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E2"/>
    <mergeCell ref="A8:E8"/>
    <mergeCell ref="A12:E12"/>
    <mergeCell ref="A16:E16"/>
  </mergeCells>
  <conditionalFormatting sqref="D2:D22">
    <cfRule type="cellIs" dxfId="0" priority="1" operator="equal">
      <formula>"Pass"</formula>
    </cfRule>
  </conditionalFormatting>
  <conditionalFormatting sqref="D2:D22">
    <cfRule type="cellIs" dxfId="1" priority="2" operator="equal">
      <formula>"Fail"</formula>
    </cfRule>
  </conditionalFormatting>
  <conditionalFormatting sqref="D2:D22">
    <cfRule type="cellIs" dxfId="2" priority="3" operator="equal">
      <formula>"Blocked"</formula>
    </cfRule>
  </conditionalFormatting>
  <conditionalFormatting sqref="D2:D22">
    <cfRule type="cellIs" dxfId="3" priority="4" operator="equal">
      <formula>"N/A"</formula>
    </cfRule>
  </conditionalFormatting>
  <dataValidations>
    <dataValidation type="list" allowBlank="1" showInputMessage="1" showErrorMessage="1" prompt="Click and enter a value from the list of items" sqref="D3:D7 D9:D11 D13:D15 D17:D22">
      <formula1>"Pass,Fail,Blocked,N/A,Partial"</formula1>
    </dataValidation>
  </dataValidation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1132</v>
      </c>
      <c r="B2" s="8"/>
      <c r="C2" s="8"/>
      <c r="D2" s="8"/>
      <c r="E2" s="10"/>
    </row>
    <row r="3">
      <c r="A3" s="11">
        <v>1.0</v>
      </c>
      <c r="B3" s="13" t="s">
        <v>1135</v>
      </c>
      <c r="C3" s="13" t="s">
        <v>1136</v>
      </c>
      <c r="D3" s="43" t="s">
        <v>84</v>
      </c>
      <c r="E3" s="17"/>
    </row>
    <row r="4">
      <c r="A4" s="19">
        <v>2.0</v>
      </c>
      <c r="B4" s="20" t="s">
        <v>1142</v>
      </c>
      <c r="C4" s="20" t="s">
        <v>1143</v>
      </c>
      <c r="D4" s="43" t="s">
        <v>84</v>
      </c>
      <c r="E4" s="21"/>
    </row>
    <row r="5">
      <c r="A5" s="11">
        <v>3.0</v>
      </c>
      <c r="B5" s="13" t="s">
        <v>1146</v>
      </c>
      <c r="C5" s="13" t="s">
        <v>1147</v>
      </c>
      <c r="D5" s="43" t="s">
        <v>84</v>
      </c>
      <c r="E5" s="17"/>
    </row>
    <row r="6">
      <c r="A6" s="19">
        <v>4.0</v>
      </c>
      <c r="B6" s="20" t="s">
        <v>1152</v>
      </c>
      <c r="C6" s="20" t="s">
        <v>1153</v>
      </c>
      <c r="D6" s="43" t="s">
        <v>86</v>
      </c>
      <c r="E6" s="45" t="s">
        <v>1155</v>
      </c>
    </row>
    <row r="7">
      <c r="A7" s="11">
        <v>5.0</v>
      </c>
      <c r="B7" s="13" t="s">
        <v>1157</v>
      </c>
      <c r="C7" s="13" t="s">
        <v>1159</v>
      </c>
      <c r="D7" s="43" t="s">
        <v>712</v>
      </c>
      <c r="E7" s="44" t="s">
        <v>1161</v>
      </c>
    </row>
    <row r="8">
      <c r="A8" s="19">
        <v>6.0</v>
      </c>
      <c r="B8" s="20" t="s">
        <v>1162</v>
      </c>
      <c r="C8" s="20" t="s">
        <v>1163</v>
      </c>
      <c r="D8" s="43" t="s">
        <v>84</v>
      </c>
      <c r="E8" s="21"/>
    </row>
    <row r="9">
      <c r="A9" s="11">
        <v>7.0</v>
      </c>
      <c r="B9" s="13" t="s">
        <v>1164</v>
      </c>
      <c r="C9" s="13" t="s">
        <v>1165</v>
      </c>
      <c r="D9" s="43" t="s">
        <v>86</v>
      </c>
      <c r="E9" s="44" t="s">
        <v>1166</v>
      </c>
    </row>
    <row r="10" ht="18.75" customHeight="1">
      <c r="A10" s="7" t="s">
        <v>1167</v>
      </c>
      <c r="B10" s="8"/>
      <c r="C10" s="8"/>
      <c r="D10" s="8"/>
      <c r="E10" s="10"/>
    </row>
    <row r="11">
      <c r="A11" s="19">
        <v>8.0</v>
      </c>
      <c r="B11" s="20" t="s">
        <v>1170</v>
      </c>
      <c r="C11" s="20" t="s">
        <v>1171</v>
      </c>
      <c r="D11" s="43" t="s">
        <v>86</v>
      </c>
      <c r="E11" s="21"/>
    </row>
    <row r="12">
      <c r="A12" s="11">
        <v>9.0</v>
      </c>
      <c r="B12" s="13" t="s">
        <v>1173</v>
      </c>
      <c r="C12" s="13" t="s">
        <v>1175</v>
      </c>
      <c r="D12" s="43" t="s">
        <v>84</v>
      </c>
      <c r="E12" s="17"/>
    </row>
    <row r="13">
      <c r="A13" s="19">
        <v>10.0</v>
      </c>
      <c r="B13" s="20" t="s">
        <v>1176</v>
      </c>
      <c r="C13" s="20" t="s">
        <v>1177</v>
      </c>
      <c r="D13" s="43" t="s">
        <v>86</v>
      </c>
      <c r="E13" s="21"/>
    </row>
    <row r="14">
      <c r="A14" s="11">
        <v>11.0</v>
      </c>
      <c r="B14" s="13" t="s">
        <v>1179</v>
      </c>
      <c r="C14" s="13" t="s">
        <v>1181</v>
      </c>
      <c r="D14" s="43" t="s">
        <v>86</v>
      </c>
      <c r="E14" s="17"/>
    </row>
    <row r="15">
      <c r="A15" s="19">
        <v>12.0</v>
      </c>
      <c r="B15" s="20" t="s">
        <v>1182</v>
      </c>
      <c r="C15" s="20" t="s">
        <v>1184</v>
      </c>
      <c r="D15" s="43" t="s">
        <v>86</v>
      </c>
      <c r="E15" s="21"/>
    </row>
    <row r="16">
      <c r="A16" s="11">
        <v>13.0</v>
      </c>
      <c r="B16" s="13" t="s">
        <v>1185</v>
      </c>
      <c r="C16" s="13" t="s">
        <v>1186</v>
      </c>
      <c r="D16" s="43" t="s">
        <v>86</v>
      </c>
      <c r="E16" s="17"/>
    </row>
    <row r="17">
      <c r="A17" s="19">
        <v>14.0</v>
      </c>
      <c r="B17" s="20" t="s">
        <v>1189</v>
      </c>
      <c r="C17" s="20" t="s">
        <v>1190</v>
      </c>
      <c r="D17" s="43" t="s">
        <v>86</v>
      </c>
      <c r="E17" s="21"/>
    </row>
    <row r="18" ht="18.75" customHeight="1">
      <c r="A18" s="7" t="s">
        <v>1191</v>
      </c>
      <c r="B18" s="8"/>
      <c r="C18" s="8"/>
      <c r="D18" s="8"/>
      <c r="E18" s="10"/>
    </row>
    <row r="19">
      <c r="A19" s="11">
        <v>15.0</v>
      </c>
      <c r="B19" s="13" t="s">
        <v>1194</v>
      </c>
      <c r="C19" s="13" t="s">
        <v>1195</v>
      </c>
      <c r="D19" s="16"/>
      <c r="E19" s="17"/>
    </row>
    <row r="20" ht="18.75" customHeight="1">
      <c r="A20" s="7" t="s">
        <v>1197</v>
      </c>
      <c r="B20" s="8"/>
      <c r="C20" s="8"/>
      <c r="D20" s="8"/>
      <c r="E20" s="10"/>
    </row>
    <row r="21" ht="15.75" customHeight="1">
      <c r="A21" s="19">
        <v>16.0</v>
      </c>
      <c r="B21" s="20" t="s">
        <v>1199</v>
      </c>
      <c r="C21" s="20" t="s">
        <v>1200</v>
      </c>
      <c r="D21" s="16"/>
      <c r="E21" s="21"/>
    </row>
    <row r="22" ht="15.75" customHeight="1">
      <c r="A22" s="11">
        <v>17.0</v>
      </c>
      <c r="B22" s="13" t="s">
        <v>1202</v>
      </c>
      <c r="C22" s="13" t="s">
        <v>1203</v>
      </c>
      <c r="D22" s="16"/>
      <c r="E22" s="17"/>
    </row>
    <row r="23" ht="15.75" customHeight="1">
      <c r="A23" s="19">
        <v>18.0</v>
      </c>
      <c r="B23" s="20" t="s">
        <v>1206</v>
      </c>
      <c r="C23" s="20" t="s">
        <v>1207</v>
      </c>
      <c r="D23" s="16"/>
      <c r="E23" s="21"/>
    </row>
    <row r="24" ht="15.75" customHeight="1">
      <c r="A24" s="11">
        <v>19.0</v>
      </c>
      <c r="B24" s="13" t="s">
        <v>1209</v>
      </c>
      <c r="C24" s="13" t="s">
        <v>1210</v>
      </c>
      <c r="D24" s="16"/>
      <c r="E24" s="17"/>
    </row>
    <row r="25" ht="26.25" customHeight="1">
      <c r="A25" s="19">
        <v>20.0</v>
      </c>
      <c r="B25" s="20" t="s">
        <v>1213</v>
      </c>
      <c r="C25" s="20" t="s">
        <v>1215</v>
      </c>
      <c r="D25" s="16"/>
      <c r="E25" s="21"/>
    </row>
    <row r="26" ht="18.75" customHeight="1">
      <c r="A26" s="7" t="s">
        <v>1216</v>
      </c>
      <c r="B26" s="8"/>
      <c r="C26" s="8"/>
      <c r="D26" s="8"/>
      <c r="E26" s="10"/>
    </row>
    <row r="27" ht="28.5" customHeight="1">
      <c r="A27" s="11">
        <v>21.0</v>
      </c>
      <c r="B27" s="13" t="s">
        <v>1219</v>
      </c>
      <c r="C27" s="13" t="s">
        <v>1220</v>
      </c>
      <c r="D27" s="43" t="s">
        <v>84</v>
      </c>
      <c r="E27" s="17"/>
    </row>
    <row r="28" ht="30.0" customHeight="1">
      <c r="A28" s="19">
        <v>22.0</v>
      </c>
      <c r="B28" s="20" t="s">
        <v>1222</v>
      </c>
      <c r="C28" s="20" t="s">
        <v>1223</v>
      </c>
      <c r="D28" s="43" t="s">
        <v>84</v>
      </c>
      <c r="E28" s="21"/>
    </row>
    <row r="29" ht="27.0" customHeight="1">
      <c r="A29" s="11">
        <v>23.0</v>
      </c>
      <c r="B29" s="13" t="s">
        <v>1225</v>
      </c>
      <c r="C29" s="13" t="s">
        <v>1226</v>
      </c>
      <c r="D29" s="43" t="s">
        <v>84</v>
      </c>
      <c r="E29" s="17"/>
    </row>
    <row r="30" ht="27.75" customHeight="1">
      <c r="A30" s="19">
        <v>24.0</v>
      </c>
      <c r="B30" s="20" t="s">
        <v>1228</v>
      </c>
      <c r="C30" s="20" t="s">
        <v>1229</v>
      </c>
      <c r="D30" s="43" t="s">
        <v>86</v>
      </c>
      <c r="E30" s="21"/>
    </row>
    <row r="31" ht="23.25" customHeight="1">
      <c r="A31" s="11">
        <v>25.0</v>
      </c>
      <c r="B31" s="13" t="s">
        <v>1233</v>
      </c>
      <c r="C31" s="13" t="s">
        <v>1234</v>
      </c>
      <c r="D31" s="43" t="s">
        <v>86</v>
      </c>
      <c r="E31" s="17"/>
    </row>
    <row r="32" ht="18.75" customHeight="1">
      <c r="A32" s="7" t="s">
        <v>1237</v>
      </c>
      <c r="B32" s="8"/>
      <c r="C32" s="8"/>
      <c r="D32" s="8"/>
      <c r="E32" s="10"/>
    </row>
    <row r="33" ht="27.0" customHeight="1">
      <c r="A33" s="19">
        <v>26.0</v>
      </c>
      <c r="B33" s="20" t="s">
        <v>1240</v>
      </c>
      <c r="C33" s="20" t="s">
        <v>1242</v>
      </c>
      <c r="D33" s="43" t="s">
        <v>84</v>
      </c>
      <c r="E33" s="21"/>
    </row>
    <row r="34" ht="18.0" customHeight="1">
      <c r="A34" s="11">
        <v>27.0</v>
      </c>
      <c r="B34" s="13" t="s">
        <v>1245</v>
      </c>
      <c r="C34" s="13" t="s">
        <v>849</v>
      </c>
      <c r="D34" s="43" t="s">
        <v>85</v>
      </c>
      <c r="E34" s="17"/>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E2"/>
    <mergeCell ref="A10:E10"/>
    <mergeCell ref="A18:E18"/>
    <mergeCell ref="A20:E20"/>
    <mergeCell ref="A26:E26"/>
    <mergeCell ref="A32:E32"/>
  </mergeCells>
  <conditionalFormatting sqref="D2:D34">
    <cfRule type="cellIs" dxfId="0" priority="1" operator="equal">
      <formula>"Pass"</formula>
    </cfRule>
  </conditionalFormatting>
  <conditionalFormatting sqref="D2:D34">
    <cfRule type="cellIs" dxfId="1" priority="2" operator="equal">
      <formula>"Fail"</formula>
    </cfRule>
  </conditionalFormatting>
  <conditionalFormatting sqref="D2:D34">
    <cfRule type="cellIs" dxfId="2" priority="3" operator="equal">
      <formula>"Blocked"</formula>
    </cfRule>
  </conditionalFormatting>
  <conditionalFormatting sqref="D2:D34">
    <cfRule type="cellIs" dxfId="3" priority="4" operator="equal">
      <formula>"N/A"</formula>
    </cfRule>
  </conditionalFormatting>
  <dataValidations>
    <dataValidation type="list" allowBlank="1" showInputMessage="1" showErrorMessage="1" prompt="Please choose Pass, Fail, Blocked or N/A." sqref="D3:D9 D11:D17 D19 D21:D25 D27:D31 D33:D34">
      <formula1>"Pass,Fail,Blocked,N/A"</formula1>
    </dataValidation>
  </dataValidation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2.0"/>
    <col customWidth="1" min="5" max="5" width="34.0"/>
    <col customWidth="1" min="6" max="26" width="8.71"/>
  </cols>
  <sheetData>
    <row r="1" ht="21.75" customHeight="1">
      <c r="A1" s="2" t="s">
        <v>2</v>
      </c>
      <c r="B1" s="2" t="s">
        <v>4</v>
      </c>
      <c r="C1" s="2" t="s">
        <v>6</v>
      </c>
      <c r="D1" s="2" t="s">
        <v>7</v>
      </c>
      <c r="E1" s="2" t="s">
        <v>10</v>
      </c>
    </row>
    <row r="2" ht="18.75" customHeight="1">
      <c r="A2" s="7" t="s">
        <v>1230</v>
      </c>
      <c r="B2" s="8"/>
      <c r="C2" s="8"/>
      <c r="D2" s="8"/>
      <c r="E2" s="10"/>
    </row>
    <row r="3">
      <c r="A3" s="11">
        <v>1.0</v>
      </c>
      <c r="B3" s="13" t="s">
        <v>1235</v>
      </c>
      <c r="C3" s="13" t="s">
        <v>1236</v>
      </c>
      <c r="D3" s="43" t="s">
        <v>84</v>
      </c>
      <c r="E3" s="17"/>
    </row>
    <row r="4">
      <c r="A4" s="19">
        <v>2.0</v>
      </c>
      <c r="B4" s="20" t="s">
        <v>1241</v>
      </c>
      <c r="C4" s="20" t="s">
        <v>1243</v>
      </c>
      <c r="D4" s="43" t="s">
        <v>84</v>
      </c>
      <c r="E4" s="21"/>
    </row>
    <row r="5">
      <c r="A5" s="11">
        <v>3.0</v>
      </c>
      <c r="B5" s="13" t="s">
        <v>1246</v>
      </c>
      <c r="C5" s="13" t="s">
        <v>1247</v>
      </c>
      <c r="D5" s="43" t="s">
        <v>84</v>
      </c>
      <c r="E5" s="17"/>
    </row>
    <row r="6">
      <c r="A6" s="19">
        <v>4.0</v>
      </c>
      <c r="B6" s="20" t="s">
        <v>1250</v>
      </c>
      <c r="C6" s="20" t="s">
        <v>1251</v>
      </c>
      <c r="D6" s="43" t="s">
        <v>84</v>
      </c>
      <c r="E6" s="21"/>
    </row>
    <row r="7">
      <c r="A7" s="11">
        <v>5.0</v>
      </c>
      <c r="B7" s="13" t="s">
        <v>1253</v>
      </c>
      <c r="C7" s="13" t="s">
        <v>1255</v>
      </c>
      <c r="D7" s="16"/>
      <c r="E7" s="17"/>
    </row>
    <row r="8">
      <c r="A8" s="19">
        <v>6.0</v>
      </c>
      <c r="B8" s="20" t="s">
        <v>1256</v>
      </c>
      <c r="C8" s="20" t="s">
        <v>1258</v>
      </c>
      <c r="D8" s="43" t="s">
        <v>84</v>
      </c>
      <c r="E8" s="21"/>
    </row>
    <row r="9" ht="18.75" customHeight="1">
      <c r="A9" s="7" t="s">
        <v>1260</v>
      </c>
      <c r="B9" s="8"/>
      <c r="C9" s="8"/>
      <c r="D9" s="8"/>
      <c r="E9" s="10"/>
    </row>
    <row r="10">
      <c r="A10" s="11">
        <v>7.0</v>
      </c>
      <c r="B10" s="13" t="s">
        <v>1261</v>
      </c>
      <c r="C10" s="13" t="s">
        <v>1262</v>
      </c>
      <c r="D10" s="43" t="s">
        <v>85</v>
      </c>
      <c r="E10" s="17"/>
    </row>
    <row r="11">
      <c r="A11" s="19">
        <v>8.0</v>
      </c>
      <c r="B11" s="20" t="s">
        <v>1265</v>
      </c>
      <c r="C11" s="20" t="s">
        <v>1266</v>
      </c>
      <c r="D11" s="43" t="s">
        <v>85</v>
      </c>
      <c r="E11" s="21"/>
    </row>
    <row r="12">
      <c r="A12" s="11">
        <v>9.0</v>
      </c>
      <c r="B12" s="13" t="s">
        <v>1268</v>
      </c>
      <c r="C12" s="13" t="s">
        <v>1270</v>
      </c>
      <c r="D12" s="16"/>
      <c r="E12" s="17"/>
    </row>
    <row r="13">
      <c r="A13" s="19">
        <v>10.0</v>
      </c>
      <c r="B13" s="20" t="s">
        <v>1271</v>
      </c>
      <c r="C13" s="20" t="s">
        <v>1190</v>
      </c>
      <c r="D13" s="16"/>
      <c r="E13" s="21"/>
    </row>
    <row r="14" ht="18.75" customHeight="1">
      <c r="A14" s="7" t="s">
        <v>1273</v>
      </c>
      <c r="B14" s="8"/>
      <c r="C14" s="8"/>
      <c r="D14" s="8"/>
      <c r="E14" s="10"/>
    </row>
    <row r="15">
      <c r="A15" s="11">
        <v>11.0</v>
      </c>
      <c r="B15" s="13" t="s">
        <v>1275</v>
      </c>
      <c r="C15" s="13" t="s">
        <v>1276</v>
      </c>
      <c r="D15" s="43" t="s">
        <v>86</v>
      </c>
      <c r="E15" s="17"/>
    </row>
    <row r="16">
      <c r="A16" s="19">
        <v>12.0</v>
      </c>
      <c r="B16" s="20" t="s">
        <v>1278</v>
      </c>
      <c r="C16" s="20" t="s">
        <v>1279</v>
      </c>
      <c r="D16" s="43" t="s">
        <v>86</v>
      </c>
      <c r="E16" s="21"/>
    </row>
    <row r="17">
      <c r="A17" s="11">
        <v>13.0</v>
      </c>
      <c r="B17" s="13" t="s">
        <v>1282</v>
      </c>
      <c r="C17" s="13" t="s">
        <v>1283</v>
      </c>
      <c r="D17" s="43" t="s">
        <v>86</v>
      </c>
      <c r="E17" s="17"/>
    </row>
    <row r="18">
      <c r="A18" s="19">
        <v>14.0</v>
      </c>
      <c r="B18" s="20" t="s">
        <v>1285</v>
      </c>
      <c r="C18" s="20" t="s">
        <v>1287</v>
      </c>
      <c r="D18" s="43" t="s">
        <v>86</v>
      </c>
      <c r="E18"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E2"/>
    <mergeCell ref="A9:E9"/>
    <mergeCell ref="A14:E14"/>
  </mergeCells>
  <conditionalFormatting sqref="D2:D18">
    <cfRule type="cellIs" dxfId="0" priority="1" operator="equal">
      <formula>"Pass"</formula>
    </cfRule>
  </conditionalFormatting>
  <conditionalFormatting sqref="D2:D18">
    <cfRule type="cellIs" dxfId="1" priority="2" operator="equal">
      <formula>"Fail"</formula>
    </cfRule>
  </conditionalFormatting>
  <conditionalFormatting sqref="D2:D18">
    <cfRule type="cellIs" dxfId="2" priority="3" operator="equal">
      <formula>"Blocked"</formula>
    </cfRule>
  </conditionalFormatting>
  <conditionalFormatting sqref="D2:D18">
    <cfRule type="cellIs" dxfId="3" priority="4" operator="equal">
      <formula>"N/A"</formula>
    </cfRule>
  </conditionalFormatting>
  <dataValidations>
    <dataValidation type="list" allowBlank="1" showInputMessage="1" showErrorMessage="1" prompt="Please choose Pass, Fail, Blocked or N/A." sqref="D3:D8 D10:D13 D15:D18">
      <formula1>"Pass,Fail,Blocked,N/A"</formula1>
    </dataValidation>
  </dataValidation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3" width="62.0"/>
    <col customWidth="1" min="4" max="4" width="13.29"/>
    <col customWidth="1" min="5" max="5" width="34.0"/>
    <col customWidth="1" min="6" max="26" width="8.71"/>
  </cols>
  <sheetData>
    <row r="1" ht="21.75" customHeight="1">
      <c r="A1" s="2" t="s">
        <v>2</v>
      </c>
      <c r="B1" s="2" t="s">
        <v>4</v>
      </c>
      <c r="C1" s="2" t="s">
        <v>6</v>
      </c>
      <c r="D1" s="2" t="s">
        <v>7</v>
      </c>
      <c r="E1" s="2" t="s">
        <v>10</v>
      </c>
    </row>
    <row r="2" ht="18.75" customHeight="1">
      <c r="A2" s="7" t="s">
        <v>1299</v>
      </c>
      <c r="B2" s="8"/>
      <c r="C2" s="8"/>
      <c r="D2" s="8"/>
      <c r="E2" s="10"/>
    </row>
    <row r="3">
      <c r="A3" s="11">
        <v>1.0</v>
      </c>
      <c r="B3" s="13" t="s">
        <v>1300</v>
      </c>
      <c r="C3" s="13" t="s">
        <v>1301</v>
      </c>
      <c r="D3" s="16"/>
      <c r="E3" s="17"/>
    </row>
    <row r="4">
      <c r="A4" s="19">
        <v>2.0</v>
      </c>
      <c r="B4" s="20" t="s">
        <v>1302</v>
      </c>
      <c r="C4" s="20" t="s">
        <v>1303</v>
      </c>
      <c r="D4" s="16"/>
      <c r="E4" s="21"/>
    </row>
    <row r="5">
      <c r="A5" s="11">
        <v>3.0</v>
      </c>
      <c r="B5" s="13" t="s">
        <v>1304</v>
      </c>
      <c r="C5" s="13" t="s">
        <v>1305</v>
      </c>
      <c r="D5" s="16"/>
      <c r="E5" s="17"/>
    </row>
    <row r="6">
      <c r="A6" s="19">
        <v>4.0</v>
      </c>
      <c r="B6" s="20" t="s">
        <v>1306</v>
      </c>
      <c r="C6" s="20" t="s">
        <v>1307</v>
      </c>
      <c r="D6" s="16"/>
      <c r="E6" s="21"/>
    </row>
    <row r="7">
      <c r="A7" s="7" t="s">
        <v>1308</v>
      </c>
      <c r="B7" s="8"/>
      <c r="C7" s="8"/>
      <c r="D7" s="8"/>
      <c r="E7" s="10"/>
    </row>
    <row r="8">
      <c r="A8" s="11">
        <v>5.0</v>
      </c>
      <c r="B8" s="13" t="s">
        <v>1309</v>
      </c>
      <c r="C8" s="13" t="s">
        <v>1310</v>
      </c>
      <c r="D8" s="16"/>
      <c r="E8" s="17"/>
    </row>
    <row r="9">
      <c r="A9" s="19">
        <v>6.0</v>
      </c>
      <c r="B9" s="20" t="s">
        <v>1311</v>
      </c>
      <c r="C9" s="20" t="s">
        <v>1312</v>
      </c>
      <c r="D9" s="16"/>
      <c r="E9" s="21"/>
    </row>
    <row r="10">
      <c r="A10" s="11">
        <v>7.0</v>
      </c>
      <c r="B10" s="13" t="s">
        <v>1313</v>
      </c>
      <c r="C10" s="13" t="s">
        <v>1314</v>
      </c>
      <c r="D10" s="16"/>
      <c r="E10" s="17"/>
    </row>
    <row r="11">
      <c r="A11" s="19">
        <v>8.0</v>
      </c>
      <c r="B11" s="20" t="s">
        <v>1315</v>
      </c>
      <c r="C11" s="20" t="s">
        <v>1316</v>
      </c>
      <c r="D11" s="16"/>
      <c r="E11" s="21"/>
    </row>
    <row r="12" ht="18.75" customHeight="1">
      <c r="A12" s="7" t="s">
        <v>1317</v>
      </c>
      <c r="B12" s="8"/>
      <c r="C12" s="8"/>
      <c r="D12" s="8"/>
      <c r="E12" s="10"/>
    </row>
    <row r="13">
      <c r="A13" s="11">
        <v>9.0</v>
      </c>
      <c r="B13" s="13" t="s">
        <v>1318</v>
      </c>
      <c r="C13" s="13" t="s">
        <v>1319</v>
      </c>
      <c r="D13" s="16"/>
      <c r="E13" s="17"/>
    </row>
    <row r="14">
      <c r="A14" s="19">
        <v>10.0</v>
      </c>
      <c r="B14" s="20" t="s">
        <v>1320</v>
      </c>
      <c r="C14" s="20" t="s">
        <v>1321</v>
      </c>
      <c r="D14" s="16"/>
      <c r="E14" s="21"/>
    </row>
    <row r="15">
      <c r="A15" s="11">
        <v>11.0</v>
      </c>
      <c r="B15" s="13" t="s">
        <v>1322</v>
      </c>
      <c r="C15" s="13" t="s">
        <v>1323</v>
      </c>
      <c r="D15" s="16"/>
      <c r="E15" s="17"/>
    </row>
    <row r="16" ht="18.75" customHeight="1">
      <c r="A16" s="7" t="s">
        <v>1324</v>
      </c>
      <c r="B16" s="8"/>
      <c r="C16" s="8"/>
      <c r="D16" s="8"/>
      <c r="E16" s="10"/>
    </row>
    <row r="17">
      <c r="A17" s="19">
        <v>12.0</v>
      </c>
      <c r="B17" s="20" t="s">
        <v>1325</v>
      </c>
      <c r="C17" s="20" t="s">
        <v>1326</v>
      </c>
      <c r="D17" s="16"/>
      <c r="E17" s="21"/>
    </row>
    <row r="18">
      <c r="A18" s="11">
        <v>13.0</v>
      </c>
      <c r="B18" s="13" t="s">
        <v>1327</v>
      </c>
      <c r="C18" s="13" t="s">
        <v>1328</v>
      </c>
      <c r="D18" s="16"/>
      <c r="E18" s="17"/>
    </row>
    <row r="19" ht="18.75" customHeight="1">
      <c r="A19" s="7" t="s">
        <v>1329</v>
      </c>
      <c r="B19" s="8"/>
      <c r="C19" s="8"/>
      <c r="D19" s="8"/>
      <c r="E19" s="10"/>
    </row>
    <row r="20">
      <c r="A20" s="19">
        <v>14.0</v>
      </c>
      <c r="B20" s="20" t="s">
        <v>1330</v>
      </c>
      <c r="C20" s="20" t="s">
        <v>1331</v>
      </c>
      <c r="D20" s="16"/>
      <c r="E20" s="21"/>
    </row>
    <row r="21" ht="15.75" customHeight="1">
      <c r="A21" s="11">
        <v>15.0</v>
      </c>
      <c r="B21" s="13" t="s">
        <v>1332</v>
      </c>
      <c r="C21" s="13" t="s">
        <v>1333</v>
      </c>
      <c r="D21" s="16"/>
      <c r="E21" s="17"/>
    </row>
    <row r="22" ht="18.75" customHeight="1">
      <c r="A22" s="7" t="s">
        <v>1334</v>
      </c>
      <c r="B22" s="8"/>
      <c r="C22" s="8"/>
      <c r="D22" s="8"/>
      <c r="E22" s="10"/>
    </row>
    <row r="23" ht="15.75" customHeight="1">
      <c r="A23" s="19">
        <v>16.0</v>
      </c>
      <c r="B23" s="20" t="s">
        <v>1335</v>
      </c>
      <c r="C23" s="20" t="s">
        <v>1336</v>
      </c>
      <c r="D23" s="16"/>
      <c r="E23" s="21"/>
    </row>
    <row r="24" ht="15.75" customHeight="1">
      <c r="A24" s="11">
        <v>17.0</v>
      </c>
      <c r="B24" s="13" t="s">
        <v>1337</v>
      </c>
      <c r="C24" s="13" t="s">
        <v>1338</v>
      </c>
      <c r="D24" s="16"/>
      <c r="E24" s="17"/>
    </row>
    <row r="25" ht="15.75" customHeight="1">
      <c r="A25" s="19">
        <v>18.0</v>
      </c>
      <c r="B25" s="20" t="s">
        <v>1339</v>
      </c>
      <c r="C25" s="20" t="s">
        <v>1340</v>
      </c>
      <c r="D25" s="16"/>
      <c r="E25" s="21"/>
    </row>
    <row r="26" ht="15.75" customHeight="1">
      <c r="A26" s="11">
        <v>19.0</v>
      </c>
      <c r="B26" s="13" t="s">
        <v>1341</v>
      </c>
      <c r="C26" s="13" t="s">
        <v>1342</v>
      </c>
      <c r="D26" s="16"/>
      <c r="E26" s="17"/>
    </row>
    <row r="27" ht="18.75" customHeight="1">
      <c r="A27" s="7" t="s">
        <v>1343</v>
      </c>
      <c r="B27" s="8"/>
      <c r="C27" s="8"/>
      <c r="D27" s="8"/>
      <c r="E27" s="10"/>
    </row>
    <row r="28" ht="15.75" customHeight="1">
      <c r="A28" s="19">
        <v>20.0</v>
      </c>
      <c r="B28" s="20" t="s">
        <v>1344</v>
      </c>
      <c r="C28" s="20" t="s">
        <v>1345</v>
      </c>
      <c r="D28" s="16"/>
      <c r="E28" s="21"/>
    </row>
    <row r="29" ht="18.75" customHeight="1">
      <c r="A29" s="7" t="s">
        <v>1346</v>
      </c>
      <c r="B29" s="8"/>
      <c r="C29" s="8"/>
      <c r="D29" s="8"/>
      <c r="E29" s="10"/>
    </row>
    <row r="30" ht="15.75" customHeight="1">
      <c r="A30" s="11">
        <v>21.0</v>
      </c>
      <c r="B30" s="13" t="s">
        <v>1347</v>
      </c>
      <c r="C30" s="13" t="s">
        <v>1348</v>
      </c>
      <c r="D30" s="16"/>
      <c r="E30" s="17"/>
    </row>
    <row r="31" ht="15.75" customHeight="1">
      <c r="A31" s="19">
        <v>22.0</v>
      </c>
      <c r="B31" s="20" t="s">
        <v>1349</v>
      </c>
      <c r="C31" s="20" t="s">
        <v>1350</v>
      </c>
      <c r="D31" s="16"/>
      <c r="E31" s="21"/>
    </row>
    <row r="32" ht="18.75" customHeight="1">
      <c r="A32" s="7" t="s">
        <v>1351</v>
      </c>
      <c r="B32" s="8"/>
      <c r="C32" s="8"/>
      <c r="D32" s="8"/>
      <c r="E32" s="10"/>
    </row>
    <row r="33" ht="15.75" customHeight="1">
      <c r="A33" s="11">
        <v>23.0</v>
      </c>
      <c r="B33" s="13" t="s">
        <v>1352</v>
      </c>
      <c r="C33" s="13" t="s">
        <v>1353</v>
      </c>
      <c r="D33" s="16"/>
      <c r="E33" s="17"/>
    </row>
    <row r="34" ht="15.75" customHeight="1">
      <c r="A34" s="19">
        <v>24.0</v>
      </c>
      <c r="B34" s="20" t="s">
        <v>1354</v>
      </c>
      <c r="C34" s="20" t="s">
        <v>1355</v>
      </c>
      <c r="D34" s="16"/>
      <c r="E34" s="21"/>
    </row>
    <row r="35" ht="15.75" customHeight="1">
      <c r="A35" s="11">
        <v>25.0</v>
      </c>
      <c r="B35" s="13" t="s">
        <v>1356</v>
      </c>
      <c r="C35" s="13" t="s">
        <v>1357</v>
      </c>
      <c r="D35" s="16"/>
      <c r="E35" s="17"/>
    </row>
    <row r="36" ht="18.75" customHeight="1">
      <c r="A36" s="7" t="s">
        <v>1358</v>
      </c>
      <c r="B36" s="8"/>
      <c r="C36" s="8"/>
      <c r="D36" s="8"/>
      <c r="E36" s="10"/>
    </row>
    <row r="37" ht="15.75" customHeight="1">
      <c r="A37" s="19">
        <v>26.0</v>
      </c>
      <c r="B37" s="20" t="s">
        <v>1359</v>
      </c>
      <c r="C37" s="20" t="s">
        <v>1360</v>
      </c>
      <c r="D37" s="16"/>
      <c r="E37" s="21"/>
    </row>
    <row r="38" ht="15.75" customHeight="1">
      <c r="A38" s="11">
        <v>27.0</v>
      </c>
      <c r="B38" s="13" t="s">
        <v>1361</v>
      </c>
      <c r="C38" s="13" t="s">
        <v>1362</v>
      </c>
      <c r="D38" s="16"/>
      <c r="E38" s="17"/>
    </row>
    <row r="39" ht="15.75" customHeight="1">
      <c r="A39" s="19">
        <v>28.0</v>
      </c>
      <c r="B39" s="20" t="s">
        <v>1363</v>
      </c>
      <c r="C39" s="20" t="s">
        <v>321</v>
      </c>
      <c r="D39" s="16"/>
      <c r="E39" s="21"/>
    </row>
    <row r="40" ht="15.75" customHeight="1">
      <c r="A40" s="11">
        <v>29.0</v>
      </c>
      <c r="B40" s="13" t="s">
        <v>1364</v>
      </c>
      <c r="C40" s="13" t="s">
        <v>1365</v>
      </c>
      <c r="D40" s="16"/>
      <c r="E40" s="17"/>
    </row>
    <row r="41" ht="18.75" customHeight="1">
      <c r="A41" s="7" t="s">
        <v>1366</v>
      </c>
      <c r="B41" s="8"/>
      <c r="C41" s="8"/>
      <c r="D41" s="8"/>
      <c r="E41" s="10"/>
    </row>
    <row r="42" ht="15.75" customHeight="1">
      <c r="A42" s="19">
        <v>30.0</v>
      </c>
      <c r="B42" s="20" t="s">
        <v>1367</v>
      </c>
      <c r="C42" s="20" t="s">
        <v>1368</v>
      </c>
      <c r="D42" s="16"/>
      <c r="E42" s="21"/>
    </row>
    <row r="43" ht="18.75" customHeight="1">
      <c r="A43" s="7" t="s">
        <v>1369</v>
      </c>
      <c r="B43" s="8"/>
      <c r="C43" s="8"/>
      <c r="D43" s="8"/>
      <c r="E43" s="10"/>
    </row>
    <row r="44" ht="15.75" customHeight="1">
      <c r="A44" s="11">
        <v>31.0</v>
      </c>
      <c r="B44" s="13" t="s">
        <v>1370</v>
      </c>
      <c r="C44" s="13" t="s">
        <v>1371</v>
      </c>
      <c r="D44" s="16"/>
      <c r="E44" s="17"/>
    </row>
    <row r="45" ht="15.75" customHeight="1">
      <c r="A45" s="19">
        <v>32.0</v>
      </c>
      <c r="B45" s="20" t="s">
        <v>1372</v>
      </c>
      <c r="C45" s="20" t="s">
        <v>1373</v>
      </c>
      <c r="D45" s="16"/>
      <c r="E45" s="21"/>
    </row>
    <row r="46" ht="15.75" customHeight="1">
      <c r="A46" s="11">
        <v>33.0</v>
      </c>
      <c r="B46" s="13" t="s">
        <v>1374</v>
      </c>
      <c r="C46" s="13" t="s">
        <v>1375</v>
      </c>
      <c r="D46" s="16"/>
      <c r="E46" s="17"/>
    </row>
    <row r="47" ht="15.75" customHeight="1">
      <c r="A47" s="19">
        <v>34.0</v>
      </c>
      <c r="B47" s="20" t="s">
        <v>1376</v>
      </c>
      <c r="C47" s="20" t="s">
        <v>1377</v>
      </c>
      <c r="D47" s="16"/>
      <c r="E47" s="21"/>
    </row>
    <row r="48" ht="15.75" customHeight="1">
      <c r="A48" s="11">
        <v>35.0</v>
      </c>
      <c r="B48" s="13" t="s">
        <v>1378</v>
      </c>
      <c r="C48" s="13" t="s">
        <v>1379</v>
      </c>
      <c r="D48" s="16"/>
      <c r="E48" s="17"/>
    </row>
    <row r="49" ht="18.75" customHeight="1">
      <c r="A49" s="7" t="s">
        <v>1380</v>
      </c>
      <c r="B49" s="8"/>
      <c r="C49" s="8"/>
      <c r="D49" s="8"/>
      <c r="E49" s="10"/>
    </row>
    <row r="50" ht="15.75" customHeight="1">
      <c r="A50" s="19">
        <v>36.0</v>
      </c>
      <c r="B50" s="20" t="s">
        <v>1381</v>
      </c>
      <c r="C50" s="20" t="s">
        <v>1382</v>
      </c>
      <c r="D50" s="16"/>
      <c r="E50" s="21"/>
    </row>
    <row r="51" ht="15.75" customHeight="1">
      <c r="A51" s="11">
        <v>37.0</v>
      </c>
      <c r="B51" s="13" t="s">
        <v>1383</v>
      </c>
      <c r="C51" s="13" t="s">
        <v>1384</v>
      </c>
      <c r="D51" s="16"/>
      <c r="E51" s="17"/>
    </row>
    <row r="52" ht="15.75" customHeight="1">
      <c r="A52" s="19">
        <v>38.0</v>
      </c>
      <c r="B52" s="20" t="s">
        <v>1385</v>
      </c>
      <c r="C52" s="20" t="s">
        <v>1386</v>
      </c>
      <c r="D52" s="16"/>
      <c r="E52" s="21"/>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29:E29"/>
    <mergeCell ref="A32:E32"/>
    <mergeCell ref="A36:E36"/>
    <mergeCell ref="A41:E41"/>
    <mergeCell ref="A43:E43"/>
    <mergeCell ref="A49:E49"/>
    <mergeCell ref="A2:E2"/>
    <mergeCell ref="A7:E7"/>
    <mergeCell ref="A12:E12"/>
    <mergeCell ref="A16:E16"/>
    <mergeCell ref="A19:E19"/>
    <mergeCell ref="A22:E22"/>
    <mergeCell ref="A27:E27"/>
  </mergeCells>
  <conditionalFormatting sqref="D2:D52">
    <cfRule type="cellIs" dxfId="0" priority="1" operator="equal">
      <formula>"Pass"</formula>
    </cfRule>
  </conditionalFormatting>
  <conditionalFormatting sqref="D2:D52">
    <cfRule type="cellIs" dxfId="1" priority="2" operator="equal">
      <formula>"Fail"</formula>
    </cfRule>
  </conditionalFormatting>
  <conditionalFormatting sqref="D2:D52">
    <cfRule type="cellIs" dxfId="2" priority="3" operator="equal">
      <formula>"Blocked"</formula>
    </cfRule>
  </conditionalFormatting>
  <conditionalFormatting sqref="D2:D52">
    <cfRule type="cellIs" dxfId="3" priority="4" operator="equal">
      <formula>"N/A"</formula>
    </cfRule>
  </conditionalFormatting>
  <dataValidations>
    <dataValidation type="list" allowBlank="1" showInputMessage="1" showErrorMessage="1" prompt="Please choose Pass, Fail, Blocked or N/A." sqref="D3:D6 D8:D11 D13:D15 D17:D18 D20:D21 D23:D26 D28 D30:D31 D33:D35 D37:D40 D42 D44:D48 D50:D52">
      <formula1>"Pass,Fail,Blocked,N/A"</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2026-08-19T13:07:27Z</dcterms:created>
  <dc:creator>openpyxl</dc:creator>
</cp:coreProperties>
</file>